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ztf/Documents/1 PIXL/"/>
    </mc:Choice>
  </mc:AlternateContent>
  <xr:revisionPtr revIDLastSave="0" documentId="13_ncr:1_{39D97FA5-AC15-8D4E-85F7-FF8D27B81E09}" xr6:coauthVersionLast="47" xr6:coauthVersionMax="47" xr10:uidLastSave="{00000000-0000-0000-0000-000000000000}"/>
  <bookViews>
    <workbookView xWindow="0" yWindow="500" windowWidth="106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" i="1" l="1"/>
  <c r="H22" i="1"/>
  <c r="H17" i="1"/>
  <c r="H14" i="1"/>
  <c r="H15" i="1"/>
  <c r="H16" i="1"/>
  <c r="H18" i="1"/>
  <c r="H19" i="1"/>
  <c r="H20" i="1"/>
  <c r="H21" i="1"/>
  <c r="H23" i="1"/>
  <c r="G30" i="1" l="1"/>
  <c r="G5" i="1"/>
  <c r="H31" i="1" l="1"/>
  <c r="H34" i="1" s="1"/>
</calcChain>
</file>

<file path=xl/sharedStrings.xml><?xml version="1.0" encoding="utf-8"?>
<sst xmlns="http://schemas.openxmlformats.org/spreadsheetml/2006/main" count="35" uniqueCount="35">
  <si>
    <t>PIXL Komputer</t>
  </si>
  <si>
    <t>Produk</t>
  </si>
  <si>
    <t>Harga</t>
  </si>
  <si>
    <t>Qty.</t>
  </si>
  <si>
    <t>Total Harga</t>
  </si>
  <si>
    <t>Sub Total</t>
  </si>
  <si>
    <t>Pengiriman</t>
  </si>
  <si>
    <t>Grand TOTAL</t>
  </si>
  <si>
    <t>Total Barang</t>
  </si>
  <si>
    <t>e-mail : pixlkomputer@gmail.om</t>
  </si>
  <si>
    <t>Date :</t>
  </si>
  <si>
    <t>#</t>
  </si>
  <si>
    <t>Q21-060717</t>
  </si>
  <si>
    <t xml:space="preserve">For : </t>
  </si>
  <si>
    <t>QUOTATION</t>
  </si>
  <si>
    <t>Telp. 0878-0888-0319 (WA)</t>
  </si>
  <si>
    <t>Jasa Perakitan</t>
  </si>
  <si>
    <t>note :</t>
  </si>
  <si>
    <t>- Harga penawaran berlaku selama 2 hari kerja</t>
  </si>
  <si>
    <t>- Proses pesanan sekitar 2 hari kerja / sesuai waktu yang telah disepakati</t>
  </si>
  <si>
    <t>Vasaka Solterra Apartement</t>
  </si>
  <si>
    <t>Jl. Condet Pejanten No.6 RT 2 / RW 7, Pejanten Barat, Ps. Minggu, Jakarta Selatan. 12510</t>
  </si>
  <si>
    <t xml:space="preserve">(PIC) Safa 081213617962 </t>
  </si>
  <si>
    <t xml:space="preserve">BONUS : </t>
  </si>
  <si>
    <t>PROCESSOR INTEL ULTRA 7 265K 20-Core 20-Thread</t>
  </si>
  <si>
    <t xml:space="preserve">CPU COOLER ARCTIC LIQUID FREEZER III 280 </t>
  </si>
  <si>
    <t>MOTHERBOARD ASROCK B860M LIVEMIXER WIFI THUNDERBOLT          (1 PORT THUNDERBOLT4)</t>
  </si>
  <si>
    <t>SSD 2TB M.2 NVME GEN4 KINGSTON NV3</t>
  </si>
  <si>
    <t>GPU GEFORCE RTX 5070 12GB TRIPLE FAN</t>
  </si>
  <si>
    <t>RAM DDR5 32GB (2X16GB) G.SKILL RIPJAWS</t>
  </si>
  <si>
    <t>PSU 850 80PLUS GOLD COOLER MASTER MWE V3</t>
  </si>
  <si>
    <t>CASING MATX COOLER MASTER ELITE302</t>
  </si>
  <si>
    <t>MONITOR DELL P2425H</t>
  </si>
  <si>
    <t>LOGITECH MK215 WIRELESS KEYBOARD + MOUSE</t>
  </si>
  <si>
    <t>OS WINDOWS 11 PRO OEM ORI + OFFICE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</si>
</sst>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No. #000&quot;####"/>
    <numFmt numFmtId="165" formatCode="&quot;Rp&quot;#,##0"/>
    <numFmt numFmtId="166" formatCode="[$-F400]h:mm:ss\ AM/PM"/>
  </numFmts>
  <fonts count="15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  <scheme val="minor"/>
    </font>
    <font>
      <b/>
      <sz val="12"/>
      <color rgb="FF000000"/>
      <name val="Shrut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charset val="1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  <xf numFmtId="0" fontId="8" fillId="0" borderId="0" xfId="1" applyFont="1" applyAlignment="1" applyProtection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0" borderId="0" xfId="1" applyFont="1" applyAlignment="1" applyProtection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/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Alignment="1" applyProtection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165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165" fontId="3" fillId="0" borderId="1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9" fillId="0" borderId="0" xfId="0" applyNumberFormat="1" applyFont="1" applyAlignment="1">
      <alignment horizontal="left" vertical="center"/>
    </xf>
    <xf numFmtId="49" fontId="9" fillId="0" borderId="8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 wrapText="1"/>
    </xf>
    <xf numFmtId="49" fontId="9" fillId="0" borderId="8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49" fontId="5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159994</xdr:colOff>
      <xdr:row>1</xdr:row>
      <xdr:rowOff>112059</xdr:rowOff>
    </xdr:from>
    <xdr:to>
      <xdr:col>0</xdr:col>
      <xdr:colOff>1053388</xdr:colOff>
      <xdr:row>3</xdr:row>
      <xdr:rowOff>22413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994" y="302559"/>
          <a:ext cx="893394" cy="324971"/>
        </a:xfrm>
        <a:prstGeom prst="rect">
          <a:avLst/>
        </a:prstGeom>
      </xdr:spPr>
    </xdr:pic>
    <xdr:clientData/>
  </xdr:twoCellAnchor>
  <xdr:twoCellAnchor editAs="oneCell">
    <xdr:from>
      <xdr:col>0</xdr:col>
      <xdr:colOff>300067</xdr:colOff>
      <xdr:row>34</xdr:row>
      <xdr:rowOff>123265</xdr:rowOff>
    </xdr:from>
    <xdr:to>
      <xdr:col>0</xdr:col>
      <xdr:colOff>857250</xdr:colOff>
      <xdr:row>37</xdr:row>
      <xdr:rowOff>42873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67" y="7373471"/>
          <a:ext cx="557183" cy="479904"/>
        </a:xfrm>
        <a:prstGeom prst="rect">
          <a:avLst/>
        </a:prstGeom>
      </xdr:spPr>
    </xdr:pic>
    <xdr:clientData/>
  </xdr:twoCellAnchor>
  <xdr:twoCellAnchor editAs="oneCell">
    <xdr:from>
      <xdr:col>1</xdr:col>
      <xdr:colOff>600138</xdr:colOff>
      <xdr:row>35</xdr:row>
      <xdr:rowOff>0</xdr:rowOff>
    </xdr:from>
    <xdr:to>
      <xdr:col>2</xdr:col>
      <xdr:colOff>485589</xdr:colOff>
      <xdr:row>36</xdr:row>
      <xdr:rowOff>107736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520" y="7429500"/>
          <a:ext cx="490569" cy="298236"/>
        </a:xfrm>
        <a:prstGeom prst="rect">
          <a:avLst/>
        </a:prstGeom>
      </xdr:spPr>
    </xdr:pic>
    <xdr:clientData/>
  </xdr:twoCellAnchor>
  <xdr:twoCellAnchor editAs="oneCell">
    <xdr:from>
      <xdr:col>0</xdr:col>
      <xdr:colOff>1101289</xdr:colOff>
      <xdr:row>34</xdr:row>
      <xdr:rowOff>100853</xdr:rowOff>
    </xdr:from>
    <xdr:to>
      <xdr:col>1</xdr:col>
      <xdr:colOff>326938</xdr:colOff>
      <xdr:row>37</xdr:row>
      <xdr:rowOff>42332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89" y="7351059"/>
          <a:ext cx="335031" cy="50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4" zoomScale="85" zoomScaleNormal="85" workbookViewId="0">
      <selection activeCell="H25" sqref="A14:I25"/>
    </sheetView>
  </sheetViews>
  <sheetFormatPr baseColWidth="10" defaultColWidth="9.1640625" defaultRowHeight="15" x14ac:dyDescent="0.2"/>
  <cols>
    <col min="1" max="1" width="16.5" style="1" customWidth="1"/>
    <col min="2" max="2" width="9.1640625" style="1"/>
    <col min="3" max="3" width="16.83203125" style="1" customWidth="1"/>
    <col min="4" max="4" width="10" style="1" customWidth="1"/>
    <col min="5" max="5" width="5.5" style="1" customWidth="1"/>
    <col min="6" max="6" width="8.6640625" style="1" customWidth="1"/>
    <col min="7" max="7" width="7.33203125" style="1" customWidth="1"/>
    <col min="8" max="8" width="7.5" style="1" customWidth="1"/>
    <col min="9" max="9" width="7.6640625" style="1" customWidth="1"/>
    <col min="10" max="16384" width="9.1640625" style="1"/>
  </cols>
  <sheetData>
    <row r="1" spans="1:9" ht="10.5" customHeight="1" x14ac:dyDescent="0.2">
      <c r="F1" s="9"/>
      <c r="G1" s="9"/>
      <c r="H1" s="9"/>
      <c r="I1" s="9"/>
    </row>
    <row r="2" spans="1:9" ht="15" customHeight="1" x14ac:dyDescent="0.2">
      <c r="B2" s="27" t="s">
        <v>0</v>
      </c>
      <c r="C2" s="27"/>
      <c r="D2" s="27"/>
      <c r="E2" s="9"/>
      <c r="F2" s="23" t="s">
        <v>14</v>
      </c>
      <c r="G2" s="23"/>
      <c r="H2" s="23"/>
      <c r="I2" s="9"/>
    </row>
    <row r="3" spans="1:9" ht="18" customHeight="1" x14ac:dyDescent="0.2">
      <c r="B3" s="28" t="s">
        <v>15</v>
      </c>
      <c r="C3" s="28"/>
      <c r="D3" s="28"/>
      <c r="E3" s="9"/>
      <c r="F3" s="23"/>
      <c r="G3" s="23"/>
      <c r="H3" s="23"/>
      <c r="I3" s="9"/>
    </row>
    <row r="4" spans="1:9" x14ac:dyDescent="0.2">
      <c r="B4" s="29" t="s">
        <v>9</v>
      </c>
      <c r="C4" s="29"/>
      <c r="D4" s="29"/>
      <c r="F4" s="10" t="s">
        <v>11</v>
      </c>
      <c r="G4" s="18" t="s">
        <v>12</v>
      </c>
      <c r="H4" s="18"/>
    </row>
    <row r="5" spans="1:9" x14ac:dyDescent="0.2">
      <c r="B5" s="7"/>
      <c r="C5" s="7"/>
      <c r="D5" s="7"/>
      <c r="F5" s="17" t="s">
        <v>10</v>
      </c>
      <c r="G5" s="59" t="str">
        <f ca="1">TEXT(NOW(),"d mmmm, yyyy")</f>
        <v>11 January, 2026</v>
      </c>
      <c r="H5" s="59"/>
    </row>
    <row r="6" spans="1:9" ht="10.5" customHeight="1" x14ac:dyDescent="0.2">
      <c r="B6" s="7"/>
      <c r="C6" s="7"/>
      <c r="D6" s="7"/>
      <c r="F6" s="17"/>
      <c r="G6" s="19"/>
      <c r="H6" s="19"/>
    </row>
    <row r="7" spans="1:9" ht="17.25" customHeight="1" x14ac:dyDescent="0.2">
      <c r="A7" s="3" t="s">
        <v>13</v>
      </c>
      <c r="B7" s="24" t="s">
        <v>20</v>
      </c>
      <c r="C7" s="24"/>
      <c r="D7" s="6"/>
      <c r="I7" s="8"/>
    </row>
    <row r="8" spans="1:9" ht="14.25" customHeight="1" x14ac:dyDescent="0.2">
      <c r="A8" s="2"/>
      <c r="B8" s="30" t="s">
        <v>21</v>
      </c>
      <c r="C8" s="30"/>
      <c r="D8" s="30"/>
      <c r="E8" s="30"/>
      <c r="F8" s="30"/>
    </row>
    <row r="9" spans="1:9" ht="20.25" customHeight="1" x14ac:dyDescent="0.2">
      <c r="A9" s="2"/>
      <c r="B9" s="30"/>
      <c r="C9" s="30"/>
      <c r="D9" s="30"/>
      <c r="E9" s="30"/>
      <c r="F9" s="30"/>
    </row>
    <row r="10" spans="1:9" ht="18" customHeight="1" x14ac:dyDescent="0.2">
      <c r="A10" s="2"/>
      <c r="B10" s="26" t="s">
        <v>22</v>
      </c>
      <c r="C10" s="26"/>
      <c r="D10" s="26"/>
    </row>
    <row r="11" spans="1:9" ht="13.5" customHeight="1" x14ac:dyDescent="0.2">
      <c r="B11" s="25"/>
      <c r="C11" s="25"/>
      <c r="G11" s="33"/>
      <c r="H11" s="33"/>
      <c r="I11" s="33"/>
    </row>
    <row r="12" spans="1:9" x14ac:dyDescent="0.2">
      <c r="A12" s="60" t="s">
        <v>1</v>
      </c>
      <c r="B12" s="60"/>
      <c r="C12" s="60"/>
      <c r="D12" s="60"/>
      <c r="E12" s="32" t="s">
        <v>2</v>
      </c>
      <c r="F12" s="32"/>
      <c r="G12" s="32" t="s">
        <v>3</v>
      </c>
      <c r="H12" s="32" t="s">
        <v>4</v>
      </c>
      <c r="I12" s="32"/>
    </row>
    <row r="13" spans="1:9" x14ac:dyDescent="0.2">
      <c r="A13" s="60"/>
      <c r="B13" s="60"/>
      <c r="C13" s="60"/>
      <c r="D13" s="60"/>
      <c r="E13" s="32"/>
      <c r="F13" s="32"/>
      <c r="G13" s="32"/>
      <c r="H13" s="32"/>
      <c r="I13" s="32"/>
    </row>
    <row r="14" spans="1:9" ht="19" customHeight="1" x14ac:dyDescent="0.2">
      <c r="A14" s="36" t="s">
        <v>24</v>
      </c>
      <c r="B14" s="36"/>
      <c r="C14" s="36"/>
      <c r="D14" s="36"/>
      <c r="E14" s="31">
        <v>5250000</v>
      </c>
      <c r="F14" s="31"/>
      <c r="G14" s="12">
        <v>1</v>
      </c>
      <c r="H14" s="31">
        <f>SUM(E14*G14)</f>
        <v>5250000</v>
      </c>
      <c r="I14" s="31"/>
    </row>
    <row r="15" spans="1:9" ht="19" customHeight="1" x14ac:dyDescent="0.2">
      <c r="A15" s="36" t="s">
        <v>25</v>
      </c>
      <c r="B15" s="36"/>
      <c r="C15" s="36"/>
      <c r="D15" s="36"/>
      <c r="E15" s="31">
        <v>1290000</v>
      </c>
      <c r="F15" s="31"/>
      <c r="G15" s="12">
        <v>1</v>
      </c>
      <c r="H15" s="31">
        <f t="shared" ref="H15:H23" si="0">SUM(E15*G15)</f>
        <v>1290000</v>
      </c>
      <c r="I15" s="31"/>
    </row>
    <row r="16" spans="1:9" ht="37" customHeight="1" x14ac:dyDescent="0.2">
      <c r="A16" s="61" t="s">
        <v>26</v>
      </c>
      <c r="B16" s="61"/>
      <c r="C16" s="61"/>
      <c r="D16" s="61"/>
      <c r="E16" s="31">
        <v>3690000</v>
      </c>
      <c r="F16" s="31"/>
      <c r="G16" s="12">
        <v>1</v>
      </c>
      <c r="H16" s="31">
        <f t="shared" si="0"/>
        <v>3690000</v>
      </c>
      <c r="I16" s="31"/>
    </row>
    <row r="17" spans="1:9" ht="19" customHeight="1" x14ac:dyDescent="0.2">
      <c r="A17" s="36" t="s">
        <v>28</v>
      </c>
      <c r="B17" s="36"/>
      <c r="C17" s="36"/>
      <c r="D17" s="36"/>
      <c r="E17" s="34">
        <v>11325000</v>
      </c>
      <c r="F17" s="35"/>
      <c r="G17" s="12">
        <v>1</v>
      </c>
      <c r="H17" s="31">
        <f t="shared" ref="H17" si="1">SUM(E17*G17)</f>
        <v>11325000</v>
      </c>
      <c r="I17" s="31"/>
    </row>
    <row r="18" spans="1:9" ht="19" customHeight="1" x14ac:dyDescent="0.2">
      <c r="A18" s="36" t="s">
        <v>29</v>
      </c>
      <c r="B18" s="36"/>
      <c r="C18" s="36"/>
      <c r="D18" s="36"/>
      <c r="E18" s="34">
        <v>6290000</v>
      </c>
      <c r="F18" s="35"/>
      <c r="G18" s="12">
        <v>1</v>
      </c>
      <c r="H18" s="31">
        <f t="shared" si="0"/>
        <v>6290000</v>
      </c>
      <c r="I18" s="31"/>
    </row>
    <row r="19" spans="1:9" ht="19" customHeight="1" x14ac:dyDescent="0.2">
      <c r="A19" s="36" t="s">
        <v>27</v>
      </c>
      <c r="B19" s="36"/>
      <c r="C19" s="36"/>
      <c r="D19" s="36"/>
      <c r="E19" s="31">
        <v>4350000</v>
      </c>
      <c r="F19" s="31"/>
      <c r="G19" s="12">
        <v>1</v>
      </c>
      <c r="H19" s="31">
        <f t="shared" si="0"/>
        <v>4350000</v>
      </c>
      <c r="I19" s="31"/>
    </row>
    <row r="20" spans="1:9" ht="19" customHeight="1" x14ac:dyDescent="0.2">
      <c r="A20" s="36" t="s">
        <v>30</v>
      </c>
      <c r="B20" s="36"/>
      <c r="C20" s="36"/>
      <c r="D20" s="36"/>
      <c r="E20" s="31">
        <v>1850000</v>
      </c>
      <c r="F20" s="31"/>
      <c r="G20" s="12">
        <v>1</v>
      </c>
      <c r="H20" s="31">
        <f t="shared" si="0"/>
        <v>1850000</v>
      </c>
      <c r="I20" s="31"/>
    </row>
    <row r="21" spans="1:9" ht="19" customHeight="1" x14ac:dyDescent="0.2">
      <c r="A21" s="36" t="s">
        <v>31</v>
      </c>
      <c r="B21" s="36"/>
      <c r="C21" s="36"/>
      <c r="D21" s="36"/>
      <c r="E21" s="31">
        <v>750000</v>
      </c>
      <c r="F21" s="31"/>
      <c r="G21" s="12">
        <v>1</v>
      </c>
      <c r="H21" s="31">
        <f t="shared" si="0"/>
        <v>750000</v>
      </c>
      <c r="I21" s="31"/>
    </row>
    <row r="22" spans="1:9" ht="19" customHeight="1" x14ac:dyDescent="0.2">
      <c r="A22" s="36" t="s">
        <v>34</v>
      </c>
      <c r="B22" s="36"/>
      <c r="C22" s="36"/>
      <c r="D22" s="36"/>
      <c r="E22" s="31">
        <v>750000</v>
      </c>
      <c r="F22" s="31"/>
      <c r="G22" s="12">
        <v>1</v>
      </c>
      <c r="H22" s="31">
        <f t="shared" ref="H22" si="2">SUM(E22*G22)</f>
        <v>750000</v>
      </c>
      <c r="I22" s="31"/>
    </row>
    <row r="23" spans="1:9" ht="19" customHeight="1" x14ac:dyDescent="0.2">
      <c r="A23" s="36" t="s">
        <v>32</v>
      </c>
      <c r="B23" s="36"/>
      <c r="C23" s="36"/>
      <c r="D23" s="36"/>
      <c r="E23" s="31">
        <v>2550000</v>
      </c>
      <c r="F23" s="31"/>
      <c r="G23" s="12">
        <v>2</v>
      </c>
      <c r="H23" s="31">
        <f t="shared" si="0"/>
        <v>5100000</v>
      </c>
      <c r="I23" s="31"/>
    </row>
    <row r="24" spans="1:9" ht="19" customHeight="1" x14ac:dyDescent="0.2">
      <c r="A24" s="36" t="s">
        <v>23</v>
      </c>
      <c r="B24" s="36"/>
      <c r="C24" s="36"/>
      <c r="D24" s="36"/>
      <c r="E24" s="31">
        <f>-G24</f>
        <v>0</v>
      </c>
      <c r="F24" s="31"/>
      <c r="G24" s="12">
        <v>0</v>
      </c>
      <c r="H24" s="34"/>
      <c r="I24" s="35"/>
    </row>
    <row r="25" spans="1:9" ht="19" customHeight="1" x14ac:dyDescent="0.2">
      <c r="A25" s="55" t="s">
        <v>33</v>
      </c>
      <c r="B25" s="56"/>
      <c r="C25" s="56"/>
      <c r="D25" s="57"/>
      <c r="E25" s="31">
        <v>0</v>
      </c>
      <c r="F25" s="31"/>
      <c r="G25" s="12">
        <v>0</v>
      </c>
      <c r="H25" s="34"/>
      <c r="I25" s="35"/>
    </row>
    <row r="26" spans="1:9" ht="19" customHeight="1" x14ac:dyDescent="0.2">
      <c r="A26" s="55"/>
      <c r="B26" s="56"/>
      <c r="C26" s="56"/>
      <c r="D26" s="57"/>
      <c r="E26" s="31"/>
      <c r="F26" s="31"/>
      <c r="G26" s="12"/>
      <c r="H26" s="34"/>
      <c r="I26" s="35"/>
    </row>
    <row r="27" spans="1:9" ht="19" customHeight="1" x14ac:dyDescent="0.2">
      <c r="A27" s="36"/>
      <c r="B27" s="36"/>
      <c r="C27" s="36"/>
      <c r="D27" s="36"/>
      <c r="E27" s="31"/>
      <c r="F27" s="31"/>
      <c r="G27" s="12"/>
      <c r="H27" s="34"/>
      <c r="I27" s="35"/>
    </row>
    <row r="28" spans="1:9" ht="19" customHeight="1" x14ac:dyDescent="0.2">
      <c r="A28" s="36"/>
      <c r="B28" s="36"/>
      <c r="C28" s="36"/>
      <c r="D28" s="36"/>
      <c r="E28" s="31"/>
      <c r="F28" s="31"/>
      <c r="G28" s="12"/>
      <c r="H28" s="34"/>
      <c r="I28" s="35"/>
    </row>
    <row r="29" spans="1:9" ht="19" customHeight="1" x14ac:dyDescent="0.2">
      <c r="A29" s="36"/>
      <c r="B29" s="36"/>
      <c r="C29" s="36"/>
      <c r="D29" s="36"/>
      <c r="E29" s="41"/>
      <c r="F29" s="41"/>
      <c r="G29" s="13"/>
      <c r="H29" s="34"/>
      <c r="I29" s="35"/>
    </row>
    <row r="30" spans="1:9" ht="19" customHeight="1" x14ac:dyDescent="0.2">
      <c r="A30" s="20"/>
      <c r="B30" s="20"/>
      <c r="C30" s="20"/>
      <c r="D30" s="37" t="s">
        <v>8</v>
      </c>
      <c r="E30" s="38"/>
      <c r="F30" s="38"/>
      <c r="G30" s="12">
        <f>SUM(G14:G29)</f>
        <v>11</v>
      </c>
      <c r="H30" s="39"/>
      <c r="I30" s="40"/>
    </row>
    <row r="31" spans="1:9" ht="19" customHeight="1" x14ac:dyDescent="0.2">
      <c r="A31" s="21" t="s">
        <v>17</v>
      </c>
      <c r="B31" s="21"/>
      <c r="C31" s="22"/>
      <c r="D31" s="43" t="s">
        <v>5</v>
      </c>
      <c r="E31" s="44"/>
      <c r="F31" s="44"/>
      <c r="G31" s="45"/>
      <c r="H31" s="31">
        <f>SUM(H14:I29)</f>
        <v>40645000</v>
      </c>
      <c r="I31" s="31"/>
    </row>
    <row r="32" spans="1:9" ht="19" customHeight="1" x14ac:dyDescent="0.2">
      <c r="A32" s="51" t="s">
        <v>18</v>
      </c>
      <c r="B32" s="51"/>
      <c r="C32" s="52"/>
      <c r="D32" s="43" t="s">
        <v>16</v>
      </c>
      <c r="E32" s="44"/>
      <c r="F32" s="44"/>
      <c r="G32" s="45"/>
      <c r="H32" s="34">
        <v>200000</v>
      </c>
      <c r="I32" s="35"/>
    </row>
    <row r="33" spans="1:9" ht="19" customHeight="1" x14ac:dyDescent="0.2">
      <c r="A33" s="53" t="s">
        <v>19</v>
      </c>
      <c r="B33" s="53"/>
      <c r="C33" s="54"/>
      <c r="D33" s="43" t="s">
        <v>6</v>
      </c>
      <c r="E33" s="45"/>
      <c r="F33" s="34"/>
      <c r="G33" s="35"/>
      <c r="H33" s="48"/>
      <c r="I33" s="48"/>
    </row>
    <row r="34" spans="1:9" ht="19" customHeight="1" thickBot="1" x14ac:dyDescent="0.25">
      <c r="A34" s="53"/>
      <c r="B34" s="53"/>
      <c r="C34" s="54"/>
      <c r="D34" s="42" t="s">
        <v>7</v>
      </c>
      <c r="E34" s="42"/>
      <c r="F34" s="42"/>
      <c r="G34" s="42"/>
      <c r="H34" s="49">
        <f>H31+H32+H33</f>
        <v>40845000</v>
      </c>
      <c r="I34" s="50"/>
    </row>
    <row r="35" spans="1:9" ht="14.25" customHeight="1" thickTop="1" x14ac:dyDescent="0.2">
      <c r="D35" s="47"/>
      <c r="E35" s="47"/>
      <c r="F35" s="47"/>
      <c r="G35" s="47"/>
      <c r="H35" s="47"/>
      <c r="I35" s="47"/>
    </row>
    <row r="36" spans="1:9" ht="15" customHeight="1" x14ac:dyDescent="0.2">
      <c r="B36" s="46"/>
      <c r="C36" s="46"/>
      <c r="D36" s="46"/>
      <c r="E36" s="46"/>
      <c r="F36" s="14"/>
      <c r="G36" s="14"/>
      <c r="H36" s="14"/>
      <c r="I36" s="14"/>
    </row>
    <row r="37" spans="1:9" ht="15" customHeight="1" x14ac:dyDescent="0.2">
      <c r="B37" s="46"/>
      <c r="C37" s="46"/>
      <c r="D37" s="46"/>
      <c r="E37" s="46"/>
      <c r="F37" s="15"/>
      <c r="G37" s="15"/>
      <c r="H37" s="15"/>
      <c r="I37" s="15"/>
    </row>
    <row r="38" spans="1:9" ht="15" customHeight="1" x14ac:dyDescent="0.2">
      <c r="A38" s="4"/>
      <c r="B38" s="4"/>
      <c r="C38" s="4"/>
      <c r="D38" s="4"/>
      <c r="E38" s="4"/>
      <c r="F38" s="11"/>
      <c r="G38" s="11"/>
      <c r="H38" s="11"/>
      <c r="I38" s="11"/>
    </row>
    <row r="39" spans="1:9" ht="15.75" customHeight="1" x14ac:dyDescent="0.2">
      <c r="C39" s="5"/>
      <c r="D39" s="5"/>
      <c r="E39" s="5"/>
      <c r="F39" s="11"/>
      <c r="G39" s="11"/>
      <c r="H39" s="11"/>
      <c r="I39" s="11"/>
    </row>
    <row r="40" spans="1:9" ht="27" x14ac:dyDescent="0.2">
      <c r="F40" s="16"/>
      <c r="G40" s="16"/>
      <c r="H40" s="16"/>
      <c r="I40" s="16"/>
    </row>
    <row r="42" spans="1:9" x14ac:dyDescent="0.2">
      <c r="C42" s="58"/>
      <c r="D42" s="58"/>
      <c r="E42" s="58"/>
      <c r="F42" s="58"/>
      <c r="G42" s="58"/>
      <c r="H42" s="58"/>
      <c r="I42" s="58"/>
    </row>
  </sheetData>
  <mergeCells count="78">
    <mergeCell ref="A17:D17"/>
    <mergeCell ref="E17:F17"/>
    <mergeCell ref="H17:I17"/>
    <mergeCell ref="C42:I42"/>
    <mergeCell ref="G5:H5"/>
    <mergeCell ref="A12:D13"/>
    <mergeCell ref="A26:D26"/>
    <mergeCell ref="A14:D14"/>
    <mergeCell ref="A15:D15"/>
    <mergeCell ref="A16:D16"/>
    <mergeCell ref="A18:D18"/>
    <mergeCell ref="A19:D19"/>
    <mergeCell ref="A20:D20"/>
    <mergeCell ref="A21:D21"/>
    <mergeCell ref="A22:D22"/>
    <mergeCell ref="A28:D28"/>
    <mergeCell ref="A27:D27"/>
    <mergeCell ref="E20:F20"/>
    <mergeCell ref="E21:F21"/>
    <mergeCell ref="E22:F22"/>
    <mergeCell ref="E23:F23"/>
    <mergeCell ref="E25:F25"/>
    <mergeCell ref="A23:D23"/>
    <mergeCell ref="A24:D24"/>
    <mergeCell ref="E26:F26"/>
    <mergeCell ref="A25:D25"/>
    <mergeCell ref="H25:I25"/>
    <mergeCell ref="H26:I26"/>
    <mergeCell ref="H19:I19"/>
    <mergeCell ref="H20:I20"/>
    <mergeCell ref="H21:I21"/>
    <mergeCell ref="H22:I22"/>
    <mergeCell ref="D34:G34"/>
    <mergeCell ref="D31:G31"/>
    <mergeCell ref="B36:E37"/>
    <mergeCell ref="D35:I35"/>
    <mergeCell ref="H31:I31"/>
    <mergeCell ref="H33:I33"/>
    <mergeCell ref="H34:I34"/>
    <mergeCell ref="D32:G32"/>
    <mergeCell ref="H32:I32"/>
    <mergeCell ref="A32:C32"/>
    <mergeCell ref="A33:C34"/>
    <mergeCell ref="F33:G33"/>
    <mergeCell ref="D33:E33"/>
    <mergeCell ref="A29:D29"/>
    <mergeCell ref="D30:F30"/>
    <mergeCell ref="H29:I29"/>
    <mergeCell ref="H30:I30"/>
    <mergeCell ref="E29:F29"/>
    <mergeCell ref="H27:I27"/>
    <mergeCell ref="H28:I28"/>
    <mergeCell ref="E28:F28"/>
    <mergeCell ref="E27:F27"/>
    <mergeCell ref="H18:I18"/>
    <mergeCell ref="E24:F24"/>
    <mergeCell ref="G12:G13"/>
    <mergeCell ref="H12:I13"/>
    <mergeCell ref="G11:I11"/>
    <mergeCell ref="E12:F13"/>
    <mergeCell ref="E14:F14"/>
    <mergeCell ref="E15:F15"/>
    <mergeCell ref="E16:F16"/>
    <mergeCell ref="H23:I23"/>
    <mergeCell ref="H24:I24"/>
    <mergeCell ref="H14:I14"/>
    <mergeCell ref="H15:I15"/>
    <mergeCell ref="H16:I16"/>
    <mergeCell ref="E18:F18"/>
    <mergeCell ref="E19:F19"/>
    <mergeCell ref="F2:H3"/>
    <mergeCell ref="B7:C7"/>
    <mergeCell ref="B11:C11"/>
    <mergeCell ref="B10:D10"/>
    <mergeCell ref="B2:D2"/>
    <mergeCell ref="B3:D3"/>
    <mergeCell ref="B4:D4"/>
    <mergeCell ref="B8:F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pccp</cp:lastModifiedBy>
  <cp:lastPrinted>2024-10-03T04:15:16Z</cp:lastPrinted>
  <dcterms:created xsi:type="dcterms:W3CDTF">2015-09-25T04:45:02Z</dcterms:created>
  <dcterms:modified xsi:type="dcterms:W3CDTF">2026-01-18T07:27:01Z</dcterms:modified>
</cp:coreProperties>
</file>