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PIXLPC\"/>
    </mc:Choice>
  </mc:AlternateContent>
  <bookViews>
    <workbookView xWindow="120" yWindow="1845" windowWidth="19065" windowHeight="867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S12" i="1" l="1"/>
  <c r="G25" i="1" l="1"/>
  <c r="R25" i="1"/>
  <c r="S26" i="1"/>
  <c r="S28" i="1" s="1"/>
  <c r="Q5" i="1"/>
  <c r="H26" i="1" l="1"/>
  <c r="H28" i="1" s="1"/>
  <c r="F5" i="1"/>
</calcChain>
</file>

<file path=xl/sharedStrings.xml><?xml version="1.0" encoding="utf-8"?>
<sst xmlns="http://schemas.openxmlformats.org/spreadsheetml/2006/main" count="58" uniqueCount="28">
  <si>
    <t xml:space="preserve">To : </t>
  </si>
  <si>
    <t xml:space="preserve">    PAYMENT</t>
  </si>
  <si>
    <t>No.</t>
  </si>
  <si>
    <t>PIXL Komputer</t>
  </si>
  <si>
    <t>(0813) 84455701</t>
  </si>
  <si>
    <t>Telp. (0878) 08880319 (WA)</t>
  </si>
  <si>
    <t>Produk</t>
  </si>
  <si>
    <t>Harga</t>
  </si>
  <si>
    <t>Qty.</t>
  </si>
  <si>
    <t>Total Harga</t>
  </si>
  <si>
    <t>Sub Total</t>
  </si>
  <si>
    <t>Pengiriman</t>
  </si>
  <si>
    <t>Grand TOTAL</t>
  </si>
  <si>
    <t>Total Barang</t>
  </si>
  <si>
    <t>e-mail : pixlpc@yahoo.com</t>
  </si>
  <si>
    <t xml:space="preserve">  BCA 883 031 9019  </t>
  </si>
  <si>
    <t xml:space="preserve">  CIMB Niaga 703 886 503 000  </t>
  </si>
  <si>
    <t>Gojek</t>
  </si>
  <si>
    <t>Hormat kami,</t>
  </si>
  <si>
    <t>Tangerang</t>
  </si>
  <si>
    <t>PGDP Gereja St. Laurensius</t>
  </si>
  <si>
    <t>Alam Sutera,</t>
  </si>
  <si>
    <t>INVOICE</t>
  </si>
  <si>
    <t xml:space="preserve">*barang yang sudah dibeli tidak dapat </t>
  </si>
  <si>
    <t>ditukar atau dikembalikan</t>
  </si>
  <si>
    <t xml:space="preserve">   a/n Christopher K.</t>
  </si>
  <si>
    <t>IVP19-0906-0440</t>
  </si>
  <si>
    <t>EXTERNAL HDD 2.5" ADATA 1TB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</si>
</sst>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No. #000&quot;####"/>
    <numFmt numFmtId="165" formatCode="&quot;Rp&quot;#,##0"/>
    <numFmt numFmtId="166" formatCode="[$-F400]h:mm:ss\ AM/PM"/>
  </numFmts>
  <fonts count="15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</font>
    <font>
      <b/>
      <sz val="10"/>
      <color rgb="FF000000"/>
      <name val="Shruti"/>
      <family val="2"/>
    </font>
    <font>
      <sz val="11"/>
      <color rgb="FF000000"/>
      <name val="Calibri"/>
      <family val="2"/>
      <charset val="1"/>
      <scheme val="minor"/>
    </font>
    <font>
      <sz val="10"/>
      <color rgb="FF000000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charset val="1"/>
      <scheme val="minor"/>
    </font>
    <font>
      <b/>
      <i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6.5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Fill="1" applyBorder="1" applyAlignment="1">
      <alignment vertical="center"/>
    </xf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vertical="top"/>
    </xf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/>
    <xf numFmtId="0" fontId="9" fillId="0" borderId="0" xfId="1" applyFont="1" applyAlignment="1" applyProtection="1">
      <alignment vertical="center"/>
    </xf>
    <xf numFmtId="0" fontId="2" fillId="0" borderId="0" xfId="1" applyFont="1" applyAlignment="1" applyProtection="1">
      <alignment vertical="center"/>
    </xf>
    <xf numFmtId="0" fontId="10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13" fillId="0" borderId="8" xfId="0" applyFont="1" applyBorder="1" applyAlignment="1"/>
    <xf numFmtId="0" fontId="13" fillId="0" borderId="9" xfId="0" applyFont="1" applyBorder="1" applyAlignment="1"/>
    <xf numFmtId="164" fontId="12" fillId="0" borderId="0" xfId="0" applyNumberFormat="1" applyFont="1" applyAlignment="1"/>
    <xf numFmtId="164" fontId="12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165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11" xfId="0" applyFont="1" applyBorder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 vertical="center"/>
    </xf>
    <xf numFmtId="0" fontId="8" fillId="0" borderId="0" xfId="1" applyFont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14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166" fontId="4" fillId="0" borderId="0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192482</xdr:colOff>
      <xdr:row>30</xdr:row>
      <xdr:rowOff>61628</xdr:rowOff>
    </xdr:from>
    <xdr:ext cx="359835" cy="270603"/>
    <xdr:pic>
      <xdr:nvPicPr>
        <xdr:cNvPr id="28" name="Picture 27" descr="dbt bca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2482" y="5508196"/>
          <a:ext cx="359835" cy="270603"/>
        </a:xfrm>
        <a:prstGeom prst="rect">
          <a:avLst/>
        </a:prstGeom>
      </xdr:spPr>
    </xdr:pic>
    <xdr:clientData/>
  </xdr:oneCellAnchor>
  <xdr:oneCellAnchor>
    <xdr:from>
      <xdr:col>11</xdr:col>
      <xdr:colOff>103909</xdr:colOff>
      <xdr:row>0</xdr:row>
      <xdr:rowOff>95250</xdr:rowOff>
    </xdr:from>
    <xdr:ext cx="613831" cy="632114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0932" y="95250"/>
          <a:ext cx="613831" cy="632114"/>
        </a:xfrm>
        <a:prstGeom prst="rect">
          <a:avLst/>
        </a:prstGeom>
      </xdr:spPr>
    </xdr:pic>
    <xdr:clientData/>
  </xdr:oneCellAnchor>
  <xdr:oneCellAnchor>
    <xdr:from>
      <xdr:col>11</xdr:col>
      <xdr:colOff>184443</xdr:colOff>
      <xdr:row>35</xdr:row>
      <xdr:rowOff>11626</xdr:rowOff>
    </xdr:from>
    <xdr:ext cx="542919" cy="469243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443" y="6462649"/>
          <a:ext cx="542919" cy="469243"/>
        </a:xfrm>
        <a:prstGeom prst="rect">
          <a:avLst/>
        </a:prstGeom>
      </xdr:spPr>
    </xdr:pic>
    <xdr:clientData/>
  </xdr:oneCellAnchor>
  <xdr:oneCellAnchor>
    <xdr:from>
      <xdr:col>12</xdr:col>
      <xdr:colOff>178900</xdr:colOff>
      <xdr:row>35</xdr:row>
      <xdr:rowOff>82574</xdr:rowOff>
    </xdr:from>
    <xdr:ext cx="460538" cy="28237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036" y="6533597"/>
          <a:ext cx="460538" cy="282370"/>
        </a:xfrm>
        <a:prstGeom prst="rect">
          <a:avLst/>
        </a:prstGeom>
      </xdr:spPr>
    </xdr:pic>
    <xdr:clientData/>
  </xdr:oneCellAnchor>
  <xdr:oneCellAnchor>
    <xdr:from>
      <xdr:col>12</xdr:col>
      <xdr:colOff>758188</xdr:colOff>
      <xdr:row>35</xdr:row>
      <xdr:rowOff>340</xdr:rowOff>
    </xdr:from>
    <xdr:ext cx="314521" cy="473449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4324" y="6451363"/>
          <a:ext cx="314521" cy="473449"/>
        </a:xfrm>
        <a:prstGeom prst="rect">
          <a:avLst/>
        </a:prstGeom>
      </xdr:spPr>
    </xdr:pic>
    <xdr:clientData/>
  </xdr:oneCellAnchor>
  <xdr:oneCellAnchor>
    <xdr:from>
      <xdr:col>14</xdr:col>
      <xdr:colOff>106737</xdr:colOff>
      <xdr:row>35</xdr:row>
      <xdr:rowOff>118963</xdr:rowOff>
    </xdr:from>
    <xdr:ext cx="741853" cy="223725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7328" y="6569986"/>
          <a:ext cx="741853" cy="223725"/>
        </a:xfrm>
        <a:prstGeom prst="rect">
          <a:avLst/>
        </a:prstGeom>
      </xdr:spPr>
    </xdr:pic>
    <xdr:clientData/>
  </xdr:oneCellAnchor>
  <xdr:oneCellAnchor>
    <xdr:from>
      <xdr:col>11</xdr:col>
      <xdr:colOff>164066</xdr:colOff>
      <xdr:row>32</xdr:row>
      <xdr:rowOff>78894</xdr:rowOff>
    </xdr:from>
    <xdr:ext cx="435756" cy="316242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066" y="5897803"/>
          <a:ext cx="435756" cy="316242"/>
        </a:xfrm>
        <a:prstGeom prst="rect">
          <a:avLst/>
        </a:prstGeom>
      </xdr:spPr>
    </xdr:pic>
    <xdr:clientData/>
  </xdr:oneCellAnchor>
  <xdr:oneCellAnchor>
    <xdr:from>
      <xdr:col>0</xdr:col>
      <xdr:colOff>103909</xdr:colOff>
      <xdr:row>0</xdr:row>
      <xdr:rowOff>95250</xdr:rowOff>
    </xdr:from>
    <xdr:ext cx="613831" cy="632114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0932" y="95250"/>
          <a:ext cx="613831" cy="632114"/>
        </a:xfrm>
        <a:prstGeom prst="rect">
          <a:avLst/>
        </a:prstGeom>
      </xdr:spPr>
    </xdr:pic>
    <xdr:clientData/>
  </xdr:oneCellAnchor>
  <xdr:oneCellAnchor>
    <xdr:from>
      <xdr:col>0</xdr:col>
      <xdr:colOff>192482</xdr:colOff>
      <xdr:row>30</xdr:row>
      <xdr:rowOff>61628</xdr:rowOff>
    </xdr:from>
    <xdr:ext cx="359835" cy="270603"/>
    <xdr:pic>
      <xdr:nvPicPr>
        <xdr:cNvPr id="46" name="Picture 45" descr="dbt bca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19505" y="5612105"/>
          <a:ext cx="359835" cy="270603"/>
        </a:xfrm>
        <a:prstGeom prst="rect">
          <a:avLst/>
        </a:prstGeom>
      </xdr:spPr>
    </xdr:pic>
    <xdr:clientData/>
  </xdr:oneCellAnchor>
  <xdr:oneCellAnchor>
    <xdr:from>
      <xdr:col>0</xdr:col>
      <xdr:colOff>184443</xdr:colOff>
      <xdr:row>35</xdr:row>
      <xdr:rowOff>11626</xdr:rowOff>
    </xdr:from>
    <xdr:ext cx="542919" cy="469243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1466" y="6566558"/>
          <a:ext cx="542919" cy="469243"/>
        </a:xfrm>
        <a:prstGeom prst="rect">
          <a:avLst/>
        </a:prstGeom>
      </xdr:spPr>
    </xdr:pic>
    <xdr:clientData/>
  </xdr:oneCellAnchor>
  <xdr:oneCellAnchor>
    <xdr:from>
      <xdr:col>1</xdr:col>
      <xdr:colOff>178900</xdr:colOff>
      <xdr:row>35</xdr:row>
      <xdr:rowOff>82574</xdr:rowOff>
    </xdr:from>
    <xdr:ext cx="460538" cy="28237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2059" y="6637506"/>
          <a:ext cx="460538" cy="282370"/>
        </a:xfrm>
        <a:prstGeom prst="rect">
          <a:avLst/>
        </a:prstGeom>
      </xdr:spPr>
    </xdr:pic>
    <xdr:clientData/>
  </xdr:oneCellAnchor>
  <xdr:oneCellAnchor>
    <xdr:from>
      <xdr:col>1</xdr:col>
      <xdr:colOff>758188</xdr:colOff>
      <xdr:row>35</xdr:row>
      <xdr:rowOff>340</xdr:rowOff>
    </xdr:from>
    <xdr:ext cx="314521" cy="473449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1347" y="6555272"/>
          <a:ext cx="314521" cy="473449"/>
        </a:xfrm>
        <a:prstGeom prst="rect">
          <a:avLst/>
        </a:prstGeom>
      </xdr:spPr>
    </xdr:pic>
    <xdr:clientData/>
  </xdr:oneCellAnchor>
  <xdr:oneCellAnchor>
    <xdr:from>
      <xdr:col>3</xdr:col>
      <xdr:colOff>106737</xdr:colOff>
      <xdr:row>35</xdr:row>
      <xdr:rowOff>118963</xdr:rowOff>
    </xdr:from>
    <xdr:ext cx="741853" cy="223725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8260" y="6673895"/>
          <a:ext cx="741853" cy="223725"/>
        </a:xfrm>
        <a:prstGeom prst="rect">
          <a:avLst/>
        </a:prstGeom>
      </xdr:spPr>
    </xdr:pic>
    <xdr:clientData/>
  </xdr:oneCellAnchor>
  <xdr:oneCellAnchor>
    <xdr:from>
      <xdr:col>0</xdr:col>
      <xdr:colOff>164066</xdr:colOff>
      <xdr:row>32</xdr:row>
      <xdr:rowOff>78894</xdr:rowOff>
    </xdr:from>
    <xdr:ext cx="435756" cy="316242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1089" y="6001712"/>
          <a:ext cx="435756" cy="3162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abSelected="1" topLeftCell="A4" zoomScale="110" zoomScaleNormal="110" workbookViewId="0">
      <selection activeCell="H12" sqref="H12:I12"/>
    </sheetView>
  </sheetViews>
  <sheetFormatPr defaultRowHeight="15"/>
  <cols>
    <col min="1" max="1" width="9.140625" style="1"/>
    <col min="2" max="2" width="11.85546875" style="1" customWidth="1"/>
    <col min="3" max="3" width="5" style="1" customWidth="1"/>
    <col min="4" max="4" width="9.7109375" style="1" customWidth="1"/>
    <col min="5" max="5" width="8.5703125" style="1" customWidth="1"/>
    <col min="6" max="6" width="3.140625" style="1" customWidth="1"/>
    <col min="7" max="7" width="5" style="1" customWidth="1"/>
    <col min="8" max="8" width="12.5703125" style="1" customWidth="1"/>
    <col min="9" max="9" width="2.7109375" style="1" customWidth="1"/>
    <col min="10" max="10" width="3" style="1" customWidth="1"/>
    <col min="11" max="11" width="3.140625" style="33" customWidth="1"/>
    <col min="12" max="12" width="9.140625" style="1"/>
    <col min="13" max="13" width="11.85546875" style="1" customWidth="1"/>
    <col min="14" max="14" width="4.85546875" style="1" customWidth="1"/>
    <col min="15" max="15" width="9.7109375" style="1" customWidth="1"/>
    <col min="16" max="16" width="8.5703125" style="1" customWidth="1"/>
    <col min="17" max="17" width="3.140625" style="1" customWidth="1"/>
    <col min="18" max="18" width="5" style="1" customWidth="1"/>
    <col min="19" max="19" width="12.5703125" style="1" customWidth="1"/>
    <col min="20" max="20" width="2.7109375" style="1" customWidth="1"/>
    <col min="21" max="16384" width="9.140625" style="1"/>
  </cols>
  <sheetData>
    <row r="1" spans="1:20" ht="15" customHeight="1">
      <c r="A1" s="2"/>
      <c r="B1" s="36" t="s">
        <v>3</v>
      </c>
      <c r="C1" s="36"/>
      <c r="D1" s="36"/>
      <c r="E1" s="3"/>
      <c r="F1" s="55" t="s">
        <v>22</v>
      </c>
      <c r="G1" s="55"/>
      <c r="H1" s="55"/>
      <c r="I1" s="55"/>
      <c r="L1" s="2"/>
      <c r="M1" s="36" t="s">
        <v>3</v>
      </c>
      <c r="N1" s="36"/>
      <c r="O1" s="36"/>
      <c r="P1" s="3"/>
      <c r="Q1" s="55" t="s">
        <v>22</v>
      </c>
      <c r="R1" s="55"/>
      <c r="S1" s="55"/>
      <c r="T1" s="55"/>
    </row>
    <row r="2" spans="1:20" ht="16.5" customHeight="1">
      <c r="A2" s="2"/>
      <c r="B2" s="37" t="s">
        <v>5</v>
      </c>
      <c r="C2" s="37"/>
      <c r="D2" s="37"/>
      <c r="E2" s="3"/>
      <c r="F2" s="55"/>
      <c r="G2" s="55"/>
      <c r="H2" s="55"/>
      <c r="I2" s="55"/>
      <c r="L2" s="2"/>
      <c r="M2" s="37" t="s">
        <v>5</v>
      </c>
      <c r="N2" s="37"/>
      <c r="O2" s="37"/>
      <c r="P2" s="3"/>
      <c r="Q2" s="55"/>
      <c r="R2" s="55"/>
      <c r="S2" s="55"/>
      <c r="T2" s="55"/>
    </row>
    <row r="3" spans="1:20" ht="13.5" customHeight="1">
      <c r="A3" s="2"/>
      <c r="B3" s="37" t="s">
        <v>4</v>
      </c>
      <c r="C3" s="37"/>
      <c r="D3" s="37"/>
      <c r="E3" s="2"/>
      <c r="G3" s="29" t="s">
        <v>2</v>
      </c>
      <c r="H3" s="28" t="s">
        <v>26</v>
      </c>
      <c r="I3" s="28"/>
      <c r="L3" s="2"/>
      <c r="M3" s="37" t="s">
        <v>4</v>
      </c>
      <c r="N3" s="37"/>
      <c r="O3" s="37"/>
      <c r="P3" s="2"/>
      <c r="R3" s="29" t="s">
        <v>2</v>
      </c>
      <c r="S3" s="28" t="s">
        <v>26</v>
      </c>
      <c r="T3" s="28"/>
    </row>
    <row r="4" spans="1:20" ht="12.75" customHeight="1">
      <c r="A4" s="2"/>
      <c r="B4" s="37" t="s">
        <v>14</v>
      </c>
      <c r="C4" s="37"/>
      <c r="D4" s="37"/>
      <c r="E4" s="2"/>
      <c r="F4" s="4"/>
      <c r="G4" s="5"/>
      <c r="H4" s="5"/>
      <c r="I4" s="2"/>
      <c r="L4" s="2"/>
      <c r="M4" s="37" t="s">
        <v>14</v>
      </c>
      <c r="N4" s="37"/>
      <c r="O4" s="37"/>
      <c r="P4" s="2"/>
      <c r="Q4" s="4"/>
      <c r="R4" s="5"/>
      <c r="S4" s="5"/>
      <c r="T4" s="2"/>
    </row>
    <row r="5" spans="1:20" ht="15" customHeight="1">
      <c r="A5" s="2"/>
      <c r="B5" s="6"/>
      <c r="C5" s="6"/>
      <c r="D5" s="6"/>
      <c r="E5" s="2"/>
      <c r="F5" s="56" t="str">
        <f ca="1">TEXT(NOW(),"d mmmm, yyyy")</f>
        <v>13 October, 2019</v>
      </c>
      <c r="G5" s="56"/>
      <c r="H5" s="56"/>
      <c r="I5" s="56"/>
      <c r="L5" s="2"/>
      <c r="M5" s="6"/>
      <c r="N5" s="6"/>
      <c r="O5" s="6"/>
      <c r="P5" s="2"/>
      <c r="Q5" s="56" t="str">
        <f ca="1">TEXT(NOW(),"d mmmm, yyyy")</f>
        <v>13 October, 2019</v>
      </c>
      <c r="R5" s="56"/>
      <c r="S5" s="56"/>
      <c r="T5" s="56"/>
    </row>
    <row r="6" spans="1:20" ht="14.25" customHeight="1">
      <c r="A6" s="9" t="s">
        <v>0</v>
      </c>
      <c r="B6" s="41" t="s">
        <v>20</v>
      </c>
      <c r="C6" s="41"/>
      <c r="D6" s="41"/>
      <c r="E6" s="2"/>
      <c r="F6" s="2"/>
      <c r="G6" s="2"/>
      <c r="H6" s="2"/>
      <c r="I6" s="10"/>
      <c r="L6" s="9" t="s">
        <v>0</v>
      </c>
      <c r="M6" s="41" t="s">
        <v>20</v>
      </c>
      <c r="N6" s="41"/>
      <c r="O6" s="41"/>
      <c r="P6" s="2"/>
      <c r="Q6" s="2"/>
      <c r="R6" s="2"/>
      <c r="S6" s="2"/>
      <c r="T6" s="10"/>
    </row>
    <row r="7" spans="1:20" ht="12.75" customHeight="1">
      <c r="A7" s="8"/>
      <c r="B7" s="35" t="s">
        <v>21</v>
      </c>
      <c r="C7" s="35"/>
      <c r="D7" s="35"/>
      <c r="E7" s="2"/>
      <c r="F7" s="2"/>
      <c r="G7" s="2"/>
      <c r="H7" s="2"/>
      <c r="I7" s="2"/>
      <c r="L7" s="8"/>
      <c r="M7" s="35" t="s">
        <v>21</v>
      </c>
      <c r="N7" s="35"/>
      <c r="O7" s="35"/>
      <c r="P7" s="2"/>
      <c r="Q7" s="2"/>
      <c r="R7" s="2"/>
      <c r="S7" s="2"/>
      <c r="T7" s="2"/>
    </row>
    <row r="8" spans="1:20" ht="13.5" customHeight="1">
      <c r="A8" s="8"/>
      <c r="B8" s="35" t="s">
        <v>19</v>
      </c>
      <c r="C8" s="35"/>
      <c r="D8" s="35"/>
      <c r="E8" s="2"/>
      <c r="F8" s="2"/>
      <c r="G8" s="2"/>
      <c r="H8" s="2"/>
      <c r="I8" s="2"/>
      <c r="L8" s="8"/>
      <c r="M8" s="35" t="s">
        <v>19</v>
      </c>
      <c r="N8" s="35"/>
      <c r="O8" s="35"/>
      <c r="P8" s="2"/>
      <c r="Q8" s="2"/>
      <c r="R8" s="2"/>
      <c r="S8" s="2"/>
      <c r="T8" s="2"/>
    </row>
    <row r="9" spans="1:20" ht="13.5" customHeight="1">
      <c r="A9" s="2"/>
      <c r="B9" s="42"/>
      <c r="C9" s="42"/>
      <c r="D9" s="42"/>
      <c r="E9" s="2"/>
      <c r="F9" s="2"/>
      <c r="G9" s="35"/>
      <c r="H9" s="35"/>
      <c r="I9" s="35"/>
      <c r="L9" s="2"/>
      <c r="M9" s="42"/>
      <c r="N9" s="42"/>
      <c r="O9" s="42"/>
      <c r="P9" s="2"/>
      <c r="Q9" s="2"/>
      <c r="R9" s="35"/>
      <c r="S9" s="35"/>
      <c r="T9" s="35"/>
    </row>
    <row r="10" spans="1:20" ht="12" customHeight="1">
      <c r="A10" s="2"/>
      <c r="B10" s="2"/>
      <c r="C10" s="2"/>
      <c r="D10" s="2"/>
      <c r="E10" s="2"/>
      <c r="F10" s="11"/>
      <c r="G10" s="11"/>
      <c r="H10" s="2"/>
      <c r="I10" s="2"/>
      <c r="L10" s="2"/>
      <c r="M10" s="2"/>
      <c r="N10" s="2"/>
      <c r="O10" s="2"/>
      <c r="P10" s="2"/>
      <c r="Q10" s="11"/>
      <c r="R10" s="11"/>
      <c r="S10" s="2"/>
      <c r="T10" s="2"/>
    </row>
    <row r="11" spans="1:20" ht="20.25" customHeight="1">
      <c r="A11" s="39" t="s">
        <v>6</v>
      </c>
      <c r="B11" s="39"/>
      <c r="C11" s="39"/>
      <c r="D11" s="39"/>
      <c r="E11" s="39" t="s">
        <v>7</v>
      </c>
      <c r="F11" s="39"/>
      <c r="G11" s="25" t="s">
        <v>8</v>
      </c>
      <c r="H11" s="39" t="s">
        <v>9</v>
      </c>
      <c r="I11" s="39"/>
      <c r="L11" s="39" t="s">
        <v>6</v>
      </c>
      <c r="M11" s="39"/>
      <c r="N11" s="39"/>
      <c r="O11" s="39"/>
      <c r="P11" s="39" t="s">
        <v>7</v>
      </c>
      <c r="Q11" s="39"/>
      <c r="R11" s="25" t="s">
        <v>8</v>
      </c>
      <c r="S11" s="39" t="s">
        <v>9</v>
      </c>
      <c r="T11" s="39"/>
    </row>
    <row r="12" spans="1:20" ht="15.75" customHeight="1">
      <c r="A12" s="44" t="s">
        <v>27</v>
      </c>
      <c r="B12" s="44"/>
      <c r="C12" s="44"/>
      <c r="D12" s="44"/>
      <c r="E12" s="38">
        <v>820000</v>
      </c>
      <c r="F12" s="38"/>
      <c r="G12" s="12">
        <v>1</v>
      </c>
      <c r="H12" s="38">
        <v>780000</v>
      </c>
      <c r="I12" s="38"/>
      <c r="L12" s="44" t="s">
        <v>27</v>
      </c>
      <c r="M12" s="44"/>
      <c r="N12" s="44"/>
      <c r="O12" s="44"/>
      <c r="P12" s="38">
        <v>820000</v>
      </c>
      <c r="Q12" s="38"/>
      <c r="R12" s="34">
        <v>1</v>
      </c>
      <c r="S12" s="38">
        <f>SUM(P12*R12)</f>
        <v>820000</v>
      </c>
      <c r="T12" s="38"/>
    </row>
    <row r="13" spans="1:20">
      <c r="A13" s="44"/>
      <c r="B13" s="44"/>
      <c r="C13" s="44"/>
      <c r="D13" s="44"/>
      <c r="E13" s="38"/>
      <c r="F13" s="38"/>
      <c r="G13" s="12"/>
      <c r="H13" s="38"/>
      <c r="I13" s="38"/>
      <c r="L13" s="44"/>
      <c r="M13" s="44"/>
      <c r="N13" s="44"/>
      <c r="O13" s="44"/>
      <c r="P13" s="38"/>
      <c r="Q13" s="38"/>
      <c r="R13" s="12"/>
      <c r="S13" s="38"/>
      <c r="T13" s="38"/>
    </row>
    <row r="14" spans="1:20">
      <c r="A14" s="44"/>
      <c r="B14" s="44"/>
      <c r="C14" s="44"/>
      <c r="D14" s="44"/>
      <c r="E14" s="38"/>
      <c r="F14" s="38"/>
      <c r="G14" s="12"/>
      <c r="H14" s="38"/>
      <c r="I14" s="38"/>
      <c r="L14" s="44"/>
      <c r="M14" s="44"/>
      <c r="N14" s="44"/>
      <c r="O14" s="44"/>
      <c r="P14" s="38"/>
      <c r="Q14" s="38"/>
      <c r="R14" s="12"/>
      <c r="S14" s="38"/>
      <c r="T14" s="38"/>
    </row>
    <row r="15" spans="1:20">
      <c r="A15" s="44"/>
      <c r="B15" s="44"/>
      <c r="C15" s="44"/>
      <c r="D15" s="44"/>
      <c r="E15" s="38"/>
      <c r="F15" s="38"/>
      <c r="G15" s="12"/>
      <c r="H15" s="38"/>
      <c r="I15" s="38"/>
      <c r="L15" s="44"/>
      <c r="M15" s="44"/>
      <c r="N15" s="44"/>
      <c r="O15" s="44"/>
      <c r="P15" s="38"/>
      <c r="Q15" s="38"/>
      <c r="R15" s="12"/>
      <c r="S15" s="38"/>
      <c r="T15" s="38"/>
    </row>
    <row r="16" spans="1:20">
      <c r="A16" s="44"/>
      <c r="B16" s="44"/>
      <c r="C16" s="44"/>
      <c r="D16" s="44"/>
      <c r="E16" s="38"/>
      <c r="F16" s="38"/>
      <c r="G16" s="12"/>
      <c r="H16" s="38"/>
      <c r="I16" s="38"/>
      <c r="L16" s="44"/>
      <c r="M16" s="44"/>
      <c r="N16" s="44"/>
      <c r="O16" s="44"/>
      <c r="P16" s="38"/>
      <c r="Q16" s="38"/>
      <c r="R16" s="12"/>
      <c r="S16" s="38"/>
      <c r="T16" s="38"/>
    </row>
    <row r="17" spans="1:20">
      <c r="A17" s="44"/>
      <c r="B17" s="44"/>
      <c r="C17" s="44"/>
      <c r="D17" s="44"/>
      <c r="E17" s="38"/>
      <c r="F17" s="38"/>
      <c r="G17" s="12"/>
      <c r="H17" s="38"/>
      <c r="I17" s="38"/>
      <c r="L17" s="44"/>
      <c r="M17" s="44"/>
      <c r="N17" s="44"/>
      <c r="O17" s="44"/>
      <c r="P17" s="38"/>
      <c r="Q17" s="38"/>
      <c r="R17" s="12"/>
      <c r="S17" s="38"/>
      <c r="T17" s="38"/>
    </row>
    <row r="18" spans="1:20">
      <c r="A18" s="48"/>
      <c r="B18" s="49"/>
      <c r="C18" s="49"/>
      <c r="D18" s="50"/>
      <c r="E18" s="51"/>
      <c r="F18" s="52"/>
      <c r="G18" s="12"/>
      <c r="H18" s="51"/>
      <c r="I18" s="52"/>
      <c r="L18" s="48"/>
      <c r="M18" s="49"/>
      <c r="N18" s="49"/>
      <c r="O18" s="50"/>
      <c r="P18" s="51"/>
      <c r="Q18" s="52"/>
      <c r="R18" s="12"/>
      <c r="S18" s="51"/>
      <c r="T18" s="52"/>
    </row>
    <row r="19" spans="1:20">
      <c r="A19" s="44"/>
      <c r="B19" s="44"/>
      <c r="C19" s="44"/>
      <c r="D19" s="44"/>
      <c r="E19" s="38"/>
      <c r="F19" s="38"/>
      <c r="G19" s="12"/>
      <c r="H19" s="38"/>
      <c r="I19" s="38"/>
      <c r="L19" s="44"/>
      <c r="M19" s="44"/>
      <c r="N19" s="44"/>
      <c r="O19" s="44"/>
      <c r="P19" s="38"/>
      <c r="Q19" s="38"/>
      <c r="R19" s="12"/>
      <c r="S19" s="38"/>
      <c r="T19" s="38"/>
    </row>
    <row r="20" spans="1:20">
      <c r="A20" s="44"/>
      <c r="B20" s="44"/>
      <c r="C20" s="44"/>
      <c r="D20" s="44"/>
      <c r="E20" s="38"/>
      <c r="F20" s="38"/>
      <c r="G20" s="12"/>
      <c r="H20" s="38"/>
      <c r="I20" s="38"/>
      <c r="L20" s="44"/>
      <c r="M20" s="44"/>
      <c r="N20" s="44"/>
      <c r="O20" s="44"/>
      <c r="P20" s="38"/>
      <c r="Q20" s="38"/>
      <c r="R20" s="12"/>
      <c r="S20" s="38"/>
      <c r="T20" s="38"/>
    </row>
    <row r="21" spans="1:20">
      <c r="A21" s="44"/>
      <c r="B21" s="44"/>
      <c r="C21" s="44"/>
      <c r="D21" s="44"/>
      <c r="E21" s="38"/>
      <c r="F21" s="38"/>
      <c r="G21" s="12"/>
      <c r="H21" s="38"/>
      <c r="I21" s="38"/>
      <c r="L21" s="44"/>
      <c r="M21" s="44"/>
      <c r="N21" s="44"/>
      <c r="O21" s="44"/>
      <c r="P21" s="38"/>
      <c r="Q21" s="38"/>
      <c r="R21" s="12"/>
      <c r="S21" s="38"/>
      <c r="T21" s="38"/>
    </row>
    <row r="22" spans="1:20">
      <c r="A22" s="44"/>
      <c r="B22" s="44"/>
      <c r="C22" s="44"/>
      <c r="D22" s="44"/>
      <c r="E22" s="38"/>
      <c r="F22" s="38"/>
      <c r="G22" s="12"/>
      <c r="H22" s="38"/>
      <c r="I22" s="38"/>
      <c r="L22" s="44"/>
      <c r="M22" s="44"/>
      <c r="N22" s="44"/>
      <c r="O22" s="44"/>
      <c r="P22" s="38"/>
      <c r="Q22" s="38"/>
      <c r="R22" s="12"/>
      <c r="S22" s="38"/>
      <c r="T22" s="38"/>
    </row>
    <row r="23" spans="1:20">
      <c r="A23" s="44"/>
      <c r="B23" s="44"/>
      <c r="C23" s="44"/>
      <c r="D23" s="44"/>
      <c r="E23" s="38"/>
      <c r="F23" s="38"/>
      <c r="G23" s="12"/>
      <c r="H23" s="38"/>
      <c r="I23" s="38"/>
      <c r="L23" s="44"/>
      <c r="M23" s="44"/>
      <c r="N23" s="44"/>
      <c r="O23" s="44"/>
      <c r="P23" s="38"/>
      <c r="Q23" s="38"/>
      <c r="R23" s="12"/>
      <c r="S23" s="38"/>
      <c r="T23" s="38"/>
    </row>
    <row r="24" spans="1:20">
      <c r="A24" s="44"/>
      <c r="B24" s="44"/>
      <c r="C24" s="44"/>
      <c r="D24" s="44"/>
      <c r="E24" s="65"/>
      <c r="F24" s="65"/>
      <c r="G24" s="13"/>
      <c r="H24" s="38"/>
      <c r="I24" s="38"/>
      <c r="L24" s="44"/>
      <c r="M24" s="44"/>
      <c r="N24" s="44"/>
      <c r="O24" s="44"/>
      <c r="P24" s="65"/>
      <c r="Q24" s="65"/>
      <c r="R24" s="13"/>
      <c r="S24" s="38"/>
      <c r="T24" s="38"/>
    </row>
    <row r="25" spans="1:20" ht="15" customHeight="1">
      <c r="A25" s="26" t="s">
        <v>23</v>
      </c>
      <c r="B25" s="26"/>
      <c r="C25" s="27"/>
      <c r="D25" s="48" t="s">
        <v>13</v>
      </c>
      <c r="E25" s="49"/>
      <c r="F25" s="50"/>
      <c r="G25" s="12">
        <f>SUM(G12:G24)</f>
        <v>1</v>
      </c>
      <c r="H25" s="64"/>
      <c r="I25" s="64"/>
      <c r="L25" s="26" t="s">
        <v>23</v>
      </c>
      <c r="M25" s="26"/>
      <c r="N25" s="27"/>
      <c r="O25" s="48" t="s">
        <v>13</v>
      </c>
      <c r="P25" s="49"/>
      <c r="Q25" s="50"/>
      <c r="R25" s="12">
        <f>SUM(R12:R24)</f>
        <v>1</v>
      </c>
      <c r="S25" s="64"/>
      <c r="T25" s="64"/>
    </row>
    <row r="26" spans="1:20" ht="15" customHeight="1">
      <c r="A26" s="53" t="s">
        <v>24</v>
      </c>
      <c r="B26" s="53"/>
      <c r="C26" s="54"/>
      <c r="D26" s="59" t="s">
        <v>10</v>
      </c>
      <c r="E26" s="59"/>
      <c r="F26" s="59"/>
      <c r="G26" s="59"/>
      <c r="H26" s="57">
        <f>SUM(H12:I24)</f>
        <v>780000</v>
      </c>
      <c r="I26" s="57"/>
      <c r="L26" s="53" t="s">
        <v>24</v>
      </c>
      <c r="M26" s="53"/>
      <c r="N26" s="54"/>
      <c r="O26" s="59" t="s">
        <v>10</v>
      </c>
      <c r="P26" s="59"/>
      <c r="Q26" s="59"/>
      <c r="R26" s="59"/>
      <c r="S26" s="57">
        <f>SUM(S12:T24)</f>
        <v>820000</v>
      </c>
      <c r="T26" s="57"/>
    </row>
    <row r="27" spans="1:20">
      <c r="A27" s="14"/>
      <c r="B27" s="14"/>
      <c r="C27" s="2"/>
      <c r="D27" s="15" t="s">
        <v>11</v>
      </c>
      <c r="E27" s="57" t="s">
        <v>17</v>
      </c>
      <c r="F27" s="57"/>
      <c r="G27" s="57"/>
      <c r="H27" s="60"/>
      <c r="I27" s="60"/>
      <c r="L27" s="14"/>
      <c r="M27" s="14"/>
      <c r="N27" s="2"/>
      <c r="O27" s="15" t="s">
        <v>11</v>
      </c>
      <c r="P27" s="57" t="s">
        <v>17</v>
      </c>
      <c r="Q27" s="57"/>
      <c r="R27" s="57"/>
      <c r="S27" s="60"/>
      <c r="T27" s="60"/>
    </row>
    <row r="28" spans="1:20" ht="15" customHeight="1" thickBot="1">
      <c r="A28" s="2"/>
      <c r="B28" s="2"/>
      <c r="C28" s="2"/>
      <c r="D28" s="58" t="s">
        <v>12</v>
      </c>
      <c r="E28" s="58"/>
      <c r="F28" s="58"/>
      <c r="G28" s="58"/>
      <c r="H28" s="61">
        <f>H26+H27</f>
        <v>780000</v>
      </c>
      <c r="I28" s="62"/>
      <c r="L28" s="2"/>
      <c r="M28" s="2"/>
      <c r="N28" s="2"/>
      <c r="O28" s="58" t="s">
        <v>12</v>
      </c>
      <c r="P28" s="58"/>
      <c r="Q28" s="58"/>
      <c r="R28" s="58"/>
      <c r="S28" s="61">
        <f>S26+S27</f>
        <v>820000</v>
      </c>
      <c r="T28" s="62"/>
    </row>
    <row r="29" spans="1:20" ht="8.25" customHeight="1" thickTop="1">
      <c r="A29" s="2"/>
      <c r="B29" s="2"/>
      <c r="C29" s="2"/>
      <c r="D29" s="30"/>
      <c r="E29" s="30"/>
      <c r="F29" s="30"/>
      <c r="G29" s="30"/>
      <c r="H29" s="31"/>
      <c r="I29" s="32"/>
      <c r="L29" s="2"/>
      <c r="M29" s="2"/>
      <c r="N29" s="2"/>
      <c r="O29" s="30"/>
      <c r="P29" s="30"/>
      <c r="Q29" s="30"/>
      <c r="R29" s="30"/>
      <c r="S29" s="31"/>
      <c r="T29" s="32"/>
    </row>
    <row r="30" spans="1:20" ht="12.75" customHeight="1">
      <c r="A30" s="45" t="s">
        <v>1</v>
      </c>
      <c r="B30" s="45"/>
      <c r="C30" s="22"/>
      <c r="D30" s="22"/>
      <c r="E30" s="2"/>
      <c r="F30" s="2"/>
      <c r="G30" s="43" t="s">
        <v>18</v>
      </c>
      <c r="H30" s="43"/>
      <c r="I30" s="43"/>
      <c r="L30" s="45" t="s">
        <v>1</v>
      </c>
      <c r="M30" s="45"/>
      <c r="N30" s="22"/>
      <c r="O30" s="22"/>
      <c r="P30" s="2"/>
      <c r="Q30" s="2"/>
      <c r="R30" s="43" t="s">
        <v>18</v>
      </c>
      <c r="S30" s="43"/>
      <c r="T30" s="43"/>
    </row>
    <row r="31" spans="1:20" ht="14.25" customHeight="1">
      <c r="A31" s="2"/>
      <c r="B31" s="63" t="s">
        <v>15</v>
      </c>
      <c r="C31" s="63"/>
      <c r="D31" s="63"/>
      <c r="E31" s="2"/>
      <c r="F31" s="2"/>
      <c r="G31" s="43"/>
      <c r="H31" s="43"/>
      <c r="I31" s="43"/>
      <c r="L31" s="2"/>
      <c r="M31" s="63" t="s">
        <v>15</v>
      </c>
      <c r="N31" s="63"/>
      <c r="O31" s="63"/>
      <c r="P31" s="2"/>
      <c r="Q31" s="2"/>
      <c r="R31" s="43"/>
      <c r="S31" s="43"/>
      <c r="T31" s="43"/>
    </row>
    <row r="32" spans="1:20" ht="15" customHeight="1">
      <c r="A32" s="2"/>
      <c r="B32" s="46" t="s">
        <v>25</v>
      </c>
      <c r="C32" s="46"/>
      <c r="D32" s="46"/>
      <c r="E32" s="23"/>
      <c r="F32" s="16"/>
      <c r="G32" s="16"/>
      <c r="H32" s="16"/>
      <c r="I32" s="16"/>
      <c r="L32" s="2"/>
      <c r="M32" s="46" t="s">
        <v>25</v>
      </c>
      <c r="N32" s="46"/>
      <c r="O32" s="46"/>
      <c r="P32" s="23"/>
      <c r="Q32" s="16"/>
      <c r="R32" s="16"/>
      <c r="S32" s="16"/>
      <c r="T32" s="16"/>
    </row>
    <row r="33" spans="1:20" ht="20.25" customHeight="1">
      <c r="A33" s="2"/>
      <c r="B33" s="47" t="s">
        <v>16</v>
      </c>
      <c r="C33" s="47"/>
      <c r="D33" s="47"/>
      <c r="E33" s="23"/>
      <c r="F33" s="17"/>
      <c r="G33" s="24"/>
      <c r="H33" s="17"/>
      <c r="I33" s="17"/>
      <c r="L33" s="2"/>
      <c r="M33" s="47" t="s">
        <v>16</v>
      </c>
      <c r="N33" s="47"/>
      <c r="O33" s="47"/>
      <c r="P33" s="23"/>
      <c r="Q33" s="17"/>
      <c r="R33" s="24"/>
      <c r="S33" s="17"/>
      <c r="T33" s="17"/>
    </row>
    <row r="34" spans="1:20" ht="14.25" customHeight="1">
      <c r="A34" s="2"/>
      <c r="B34" s="46" t="s">
        <v>25</v>
      </c>
      <c r="C34" s="46"/>
      <c r="D34" s="46"/>
      <c r="E34" s="2"/>
      <c r="F34" s="18"/>
      <c r="G34" s="18"/>
      <c r="H34" s="18"/>
      <c r="I34" s="18"/>
      <c r="L34" s="2"/>
      <c r="M34" s="46" t="s">
        <v>25</v>
      </c>
      <c r="N34" s="46"/>
      <c r="O34" s="46"/>
      <c r="P34" s="2"/>
      <c r="Q34" s="18"/>
      <c r="R34" s="18"/>
      <c r="S34" s="18"/>
      <c r="T34" s="18"/>
    </row>
    <row r="35" spans="1:20" ht="15" customHeight="1">
      <c r="A35" s="19"/>
      <c r="B35" s="19"/>
      <c r="C35" s="19"/>
      <c r="D35" s="19"/>
      <c r="E35" s="19"/>
      <c r="F35" s="7"/>
      <c r="G35" s="7"/>
      <c r="H35" s="7"/>
      <c r="I35" s="7"/>
      <c r="L35" s="19"/>
      <c r="M35" s="19"/>
      <c r="N35" s="19"/>
      <c r="O35" s="19"/>
      <c r="P35" s="19"/>
      <c r="Q35" s="7"/>
      <c r="R35" s="7"/>
      <c r="S35" s="7"/>
      <c r="T35" s="7"/>
    </row>
    <row r="36" spans="1:20" ht="15.75" customHeight="1">
      <c r="A36" s="2"/>
      <c r="B36" s="2"/>
      <c r="C36" s="20"/>
      <c r="D36" s="20"/>
      <c r="E36" s="20"/>
      <c r="F36" s="7"/>
      <c r="G36" s="7"/>
      <c r="H36" s="7"/>
      <c r="I36" s="7"/>
      <c r="L36" s="2"/>
      <c r="M36" s="2"/>
      <c r="N36" s="20"/>
      <c r="O36" s="20"/>
      <c r="P36" s="20"/>
      <c r="Q36" s="7"/>
      <c r="R36" s="7"/>
      <c r="S36" s="7"/>
      <c r="T36" s="7"/>
    </row>
    <row r="37" spans="1:20">
      <c r="A37" s="2"/>
      <c r="B37" s="2"/>
      <c r="C37" s="2"/>
      <c r="D37" s="2"/>
      <c r="E37" s="2"/>
      <c r="F37" s="21"/>
      <c r="G37" s="21"/>
      <c r="H37" s="21"/>
      <c r="I37" s="21"/>
      <c r="L37" s="2"/>
      <c r="M37" s="2"/>
      <c r="N37" s="2"/>
      <c r="O37" s="2"/>
      <c r="P37" s="2"/>
      <c r="Q37" s="21"/>
      <c r="R37" s="21"/>
      <c r="S37" s="21"/>
      <c r="T37" s="21"/>
    </row>
    <row r="38" spans="1:20">
      <c r="A38" s="2"/>
      <c r="B38" s="2"/>
      <c r="C38" s="2"/>
      <c r="D38" s="2"/>
      <c r="E38" s="2"/>
      <c r="F38" s="2"/>
      <c r="G38" s="2"/>
      <c r="H38" s="2"/>
      <c r="I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2"/>
      <c r="B39" s="2"/>
      <c r="C39" s="40"/>
      <c r="D39" s="40"/>
      <c r="E39" s="40"/>
      <c r="F39" s="40"/>
      <c r="G39" s="40"/>
      <c r="H39" s="40"/>
      <c r="I39" s="40"/>
    </row>
  </sheetData>
  <mergeCells count="137">
    <mergeCell ref="M31:O31"/>
    <mergeCell ref="M32:O32"/>
    <mergeCell ref="M33:O33"/>
    <mergeCell ref="M34:O34"/>
    <mergeCell ref="P27:R27"/>
    <mergeCell ref="S27:T27"/>
    <mergeCell ref="O28:R28"/>
    <mergeCell ref="S28:T28"/>
    <mergeCell ref="L30:M30"/>
    <mergeCell ref="R30:T31"/>
    <mergeCell ref="O25:Q25"/>
    <mergeCell ref="S25:T25"/>
    <mergeCell ref="L26:N26"/>
    <mergeCell ref="O26:R26"/>
    <mergeCell ref="S26:T26"/>
    <mergeCell ref="L23:O23"/>
    <mergeCell ref="P23:Q23"/>
    <mergeCell ref="S23:T23"/>
    <mergeCell ref="L24:O24"/>
    <mergeCell ref="P24:Q24"/>
    <mergeCell ref="S24:T24"/>
    <mergeCell ref="L21:O21"/>
    <mergeCell ref="P21:Q21"/>
    <mergeCell ref="S21:T21"/>
    <mergeCell ref="L22:O22"/>
    <mergeCell ref="P22:Q22"/>
    <mergeCell ref="S22:T22"/>
    <mergeCell ref="L19:O19"/>
    <mergeCell ref="P19:Q19"/>
    <mergeCell ref="S19:T19"/>
    <mergeCell ref="L20:O20"/>
    <mergeCell ref="P20:Q20"/>
    <mergeCell ref="S20:T20"/>
    <mergeCell ref="L17:O17"/>
    <mergeCell ref="P17:Q17"/>
    <mergeCell ref="S17:T17"/>
    <mergeCell ref="L18:O18"/>
    <mergeCell ref="P18:Q18"/>
    <mergeCell ref="S18:T18"/>
    <mergeCell ref="L15:O15"/>
    <mergeCell ref="P15:Q15"/>
    <mergeCell ref="S15:T15"/>
    <mergeCell ref="L16:O16"/>
    <mergeCell ref="P16:Q16"/>
    <mergeCell ref="S16:T16"/>
    <mergeCell ref="L13:O13"/>
    <mergeCell ref="P13:Q13"/>
    <mergeCell ref="S13:T13"/>
    <mergeCell ref="L14:O14"/>
    <mergeCell ref="P14:Q14"/>
    <mergeCell ref="S14:T14"/>
    <mergeCell ref="L11:O11"/>
    <mergeCell ref="P11:Q11"/>
    <mergeCell ref="S11:T11"/>
    <mergeCell ref="L12:O12"/>
    <mergeCell ref="P12:Q12"/>
    <mergeCell ref="S12:T12"/>
    <mergeCell ref="Q5:T5"/>
    <mergeCell ref="M6:O6"/>
    <mergeCell ref="M7:O7"/>
    <mergeCell ref="M8:O8"/>
    <mergeCell ref="M9:O9"/>
    <mergeCell ref="R9:T9"/>
    <mergeCell ref="M1:O1"/>
    <mergeCell ref="Q1:T2"/>
    <mergeCell ref="M2:O2"/>
    <mergeCell ref="M3:O3"/>
    <mergeCell ref="M4:O4"/>
    <mergeCell ref="A30:B30"/>
    <mergeCell ref="B32:D32"/>
    <mergeCell ref="B34:D34"/>
    <mergeCell ref="B33:D33"/>
    <mergeCell ref="A18:D18"/>
    <mergeCell ref="E18:F18"/>
    <mergeCell ref="H18:I18"/>
    <mergeCell ref="A26:C26"/>
    <mergeCell ref="F1:I2"/>
    <mergeCell ref="F5:I5"/>
    <mergeCell ref="E27:G27"/>
    <mergeCell ref="D28:G28"/>
    <mergeCell ref="D26:G26"/>
    <mergeCell ref="H26:I26"/>
    <mergeCell ref="H27:I27"/>
    <mergeCell ref="H28:I28"/>
    <mergeCell ref="B31:D31"/>
    <mergeCell ref="A24:D24"/>
    <mergeCell ref="D25:F25"/>
    <mergeCell ref="H24:I24"/>
    <mergeCell ref="H25:I25"/>
    <mergeCell ref="E24:F24"/>
    <mergeCell ref="H20:I20"/>
    <mergeCell ref="H21:I21"/>
    <mergeCell ref="C39:I39"/>
    <mergeCell ref="B6:D6"/>
    <mergeCell ref="B9:D9"/>
    <mergeCell ref="G30:I31"/>
    <mergeCell ref="A17:D17"/>
    <mergeCell ref="A11:D11"/>
    <mergeCell ref="A19:D19"/>
    <mergeCell ref="A20:D20"/>
    <mergeCell ref="A21:D21"/>
    <mergeCell ref="A12:D12"/>
    <mergeCell ref="A13:D13"/>
    <mergeCell ref="A14:D14"/>
    <mergeCell ref="A15:D15"/>
    <mergeCell ref="A16:D16"/>
    <mergeCell ref="E19:F19"/>
    <mergeCell ref="E20:F20"/>
    <mergeCell ref="E21:F21"/>
    <mergeCell ref="E22:F22"/>
    <mergeCell ref="A23:D23"/>
    <mergeCell ref="A22:D22"/>
    <mergeCell ref="E17:F17"/>
    <mergeCell ref="H17:I17"/>
    <mergeCell ref="H19:I19"/>
    <mergeCell ref="H16:I16"/>
    <mergeCell ref="B7:D7"/>
    <mergeCell ref="B8:D8"/>
    <mergeCell ref="B1:D1"/>
    <mergeCell ref="B2:D2"/>
    <mergeCell ref="B3:D3"/>
    <mergeCell ref="B4:D4"/>
    <mergeCell ref="H22:I22"/>
    <mergeCell ref="H23:I23"/>
    <mergeCell ref="E23:F23"/>
    <mergeCell ref="H15:I15"/>
    <mergeCell ref="H11:I11"/>
    <mergeCell ref="G9:I9"/>
    <mergeCell ref="E11:F11"/>
    <mergeCell ref="E12:F12"/>
    <mergeCell ref="E13:F13"/>
    <mergeCell ref="E14:F14"/>
    <mergeCell ref="H12:I12"/>
    <mergeCell ref="H13:I13"/>
    <mergeCell ref="H14:I14"/>
    <mergeCell ref="E15:F15"/>
    <mergeCell ref="E16:F16"/>
  </mergeCells>
  <pageMargins left="0.23622047244094491" right="0.23622047244094491" top="0.31496062992125984" bottom="0.31496062992125984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cp:lastPrinted>2019-10-13T11:50:53Z</cp:lastPrinted>
  <dcterms:created xsi:type="dcterms:W3CDTF">2015-09-25T04:45:02Z</dcterms:created>
  <dcterms:modified xsi:type="dcterms:W3CDTF">2019-10-14T13:55:00Z</dcterms:modified>
</cp:coreProperties>
</file>