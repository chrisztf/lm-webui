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bookViews>
    <workbookView xWindow="0" yWindow="5850" windowWidth="28800" windowHeight="1257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C34" i="1" l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33" i="1" l="1"/>
</calcChain>
</file>

<file path=xl/sharedStrings.xml><?xml version="1.0" encoding="utf-8"?>
<sst xmlns="http://schemas.openxmlformats.org/spreadsheetml/2006/main" count="80" uniqueCount="33">
  <si>
    <t>Paseo Kitchen 3 Roll</t>
  </si>
  <si>
    <t>Paseo Toilet 8 Roll</t>
  </si>
  <si>
    <t>Paseo Toilet 12 Roll</t>
  </si>
  <si>
    <t>Livi Eco Refill Pack 554gr</t>
  </si>
  <si>
    <t>PRODUK</t>
  </si>
  <si>
    <t>QTY</t>
  </si>
  <si>
    <t>JUMLAH</t>
  </si>
  <si>
    <t xml:space="preserve">SATUAN </t>
  </si>
  <si>
    <t>TOTAL</t>
  </si>
  <si>
    <t>No.</t>
  </si>
  <si>
    <t>Paseo Smart 250s</t>
  </si>
  <si>
    <t>Paseo Wet Anti-Bacteri 10s</t>
  </si>
  <si>
    <t>Paseo Baby Soft 130s</t>
  </si>
  <si>
    <t>Paseo Baby Wet 10s (BOGO)</t>
  </si>
  <si>
    <t>Paseo Baby Wet 50s (BOGO)</t>
  </si>
  <si>
    <t>Paseo Kitchen 150s</t>
  </si>
  <si>
    <t>Paseo Travel Pack 50s</t>
  </si>
  <si>
    <t xml:space="preserve">Livi Eco Kuliner </t>
  </si>
  <si>
    <t xml:space="preserve">PASEO </t>
  </si>
  <si>
    <t>PASEO</t>
  </si>
  <si>
    <t>Nama</t>
  </si>
  <si>
    <t>Tanggal</t>
  </si>
  <si>
    <t>Paseo Hanky Pocket 6pcs</t>
  </si>
  <si>
    <t>Jolly Kuliner Coreless 10 Roll</t>
  </si>
  <si>
    <t>Jolly Kuliner Pop Up 90gr</t>
  </si>
  <si>
    <t>Nice Softpack 200s</t>
  </si>
  <si>
    <t>PENJUALAN</t>
  </si>
  <si>
    <t>RETUR</t>
  </si>
  <si>
    <t>Komisi</t>
  </si>
  <si>
    <t>PENERIMA</t>
  </si>
  <si>
    <t>ISI / KARTON</t>
  </si>
  <si>
    <t>@</t>
  </si>
  <si>
    <t>HARGA GROSIR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</si>
</sst>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Rp-421]#,##0"/>
    <numFmt numFmtId="165" formatCode="[$Rp-3809]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5" fontId="0" fillId="0" borderId="1" xfId="0" applyNumberFormat="1" applyBorder="1" applyAlignment="1">
      <alignment horizontal="right" vertical="center"/>
    </xf>
    <xf numFmtId="0" fontId="0" fillId="2" borderId="1" xfId="0" applyFont="1" applyFill="1" applyBorder="1" applyAlignment="1">
      <alignment horizontal="left" vertical="center"/>
    </xf>
    <xf numFmtId="165" fontId="0" fillId="2" borderId="1" xfId="0" applyNumberFormat="1" applyFont="1" applyFill="1" applyBorder="1" applyAlignment="1">
      <alignment horizontal="right"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5" xfId="0" applyFont="1" applyBorder="1"/>
    <xf numFmtId="0" fontId="1" fillId="0" borderId="4" xfId="0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5" xfId="0" applyFont="1" applyBorder="1"/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27"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[$Rp-3809]#,##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[$Rp-3809]#,##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[$Rp-3809]#,##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4:E20" totalsRowShown="0" headerRowDxfId="26" dataDxfId="25">
  <autoFilter ref="A4:E20"/>
  <tableColumns count="5">
    <tableColumn id="1" name="No." dataDxfId="24"/>
    <tableColumn id="2" name="PRODUK" dataDxfId="23"/>
    <tableColumn id="3" name="SATUAN " dataDxfId="22"/>
    <tableColumn id="4" name="QTY" dataDxfId="21"/>
    <tableColumn id="5" name="JUMLAH" dataDxfId="2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32:E48" totalsRowShown="0" headerRowDxfId="19" dataDxfId="18">
  <autoFilter ref="A32:E48"/>
  <tableColumns count="5">
    <tableColumn id="1" name="No." dataDxfId="17"/>
    <tableColumn id="2" name="PRODUK" dataDxfId="16"/>
    <tableColumn id="3" name="SATUAN " dataDxfId="15">
      <calculatedColumnFormula>C5</calculatedColumnFormula>
    </tableColumn>
    <tableColumn id="4" name="QTY" dataDxfId="14"/>
    <tableColumn id="5" name="JUMLAH" dataDxfId="13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G4:H20" totalsRowShown="0" headerRowDxfId="12">
  <autoFilter ref="G4:H20"/>
  <tableColumns count="2">
    <tableColumn id="1" name="PENJUALAN" dataDxfId="11"/>
    <tableColumn id="2" name="RETUR" dataDxfId="1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6" name="Table57" displayName="Table57" ref="G32:H48" totalsRowShown="0" headerRowDxfId="9">
  <autoFilter ref="G32:H48"/>
  <tableColumns count="2">
    <tableColumn id="1" name="PENJUALAN" dataDxfId="8"/>
    <tableColumn id="2" name="RETUR" dataDxfId="7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7" name="Table18" displayName="Table18" ref="A2:E18" totalsRowShown="0" headerRowDxfId="6" dataDxfId="5">
  <autoFilter ref="A2:E18"/>
  <tableColumns count="5">
    <tableColumn id="1" name="No." dataDxfId="4"/>
    <tableColumn id="2" name="PRODUK" dataDxfId="3"/>
    <tableColumn id="3" name="@" dataDxfId="2"/>
    <tableColumn id="4" name="ISI / KARTON" dataDxfId="1"/>
    <tableColumn id="5" name="JUMLAH" dataDxfId="0">
      <calculatedColumnFormula>Table18[[#This Row],[ISI / KARTON]]*Table18[[#This Row],[@]]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4" workbookViewId="0">
      <selection activeCell="A4" sqref="A4:E21"/>
    </sheetView>
  </sheetViews>
  <sheetFormatPr defaultRowHeight="15" x14ac:dyDescent="0.25"/>
  <cols>
    <col min="1" max="1" width="4.7109375" customWidth="1"/>
    <col min="2" max="2" width="30.7109375" customWidth="1"/>
    <col min="3" max="3" width="11.7109375" style="3" customWidth="1"/>
    <col min="4" max="4" width="8.7109375" customWidth="1"/>
    <col min="5" max="5" width="15.42578125" customWidth="1"/>
    <col min="6" max="6" width="1.28515625" customWidth="1"/>
    <col min="7" max="7" width="14.140625" customWidth="1"/>
    <col min="8" max="8" width="8.42578125" customWidth="1"/>
  </cols>
  <sheetData>
    <row r="1" spans="1:8" x14ac:dyDescent="0.25">
      <c r="B1" s="13" t="s">
        <v>18</v>
      </c>
      <c r="D1" s="13" t="s">
        <v>20</v>
      </c>
      <c r="E1" s="15"/>
    </row>
    <row r="2" spans="1:8" x14ac:dyDescent="0.25">
      <c r="D2" s="13" t="s">
        <v>21</v>
      </c>
      <c r="E2" s="16"/>
    </row>
    <row r="4" spans="1:8" x14ac:dyDescent="0.25">
      <c r="A4" s="7" t="s">
        <v>9</v>
      </c>
      <c r="B4" s="7" t="s">
        <v>4</v>
      </c>
      <c r="C4" s="8" t="s">
        <v>7</v>
      </c>
      <c r="D4" s="7" t="s">
        <v>5</v>
      </c>
      <c r="E4" s="6" t="s">
        <v>6</v>
      </c>
      <c r="G4" s="18" t="s">
        <v>26</v>
      </c>
      <c r="H4" s="18" t="s">
        <v>27</v>
      </c>
    </row>
    <row r="5" spans="1:8" x14ac:dyDescent="0.25">
      <c r="A5" s="5">
        <v>1</v>
      </c>
      <c r="B5" s="9" t="s">
        <v>11</v>
      </c>
      <c r="C5" s="10">
        <v>3000</v>
      </c>
      <c r="D5" s="5"/>
      <c r="E5" s="5"/>
      <c r="G5" s="19"/>
      <c r="H5" s="19"/>
    </row>
    <row r="6" spans="1:8" x14ac:dyDescent="0.25">
      <c r="A6" s="5">
        <v>2</v>
      </c>
      <c r="B6" s="9" t="s">
        <v>13</v>
      </c>
      <c r="C6" s="10">
        <v>5000</v>
      </c>
      <c r="D6" s="5"/>
      <c r="E6" s="5"/>
      <c r="G6" s="19"/>
      <c r="H6" s="19"/>
    </row>
    <row r="7" spans="1:8" x14ac:dyDescent="0.25">
      <c r="A7" s="5">
        <v>3</v>
      </c>
      <c r="B7" s="9" t="s">
        <v>14</v>
      </c>
      <c r="C7" s="10">
        <v>15000</v>
      </c>
      <c r="D7" s="5"/>
      <c r="E7" s="5"/>
      <c r="G7" s="19"/>
      <c r="H7" s="19"/>
    </row>
    <row r="8" spans="1:8" x14ac:dyDescent="0.25">
      <c r="A8" s="5">
        <v>4</v>
      </c>
      <c r="B8" s="9" t="s">
        <v>12</v>
      </c>
      <c r="C8" s="10">
        <v>15000</v>
      </c>
      <c r="D8" s="5"/>
      <c r="E8" s="5"/>
      <c r="G8" s="19"/>
      <c r="H8" s="19"/>
    </row>
    <row r="9" spans="1:8" x14ac:dyDescent="0.25">
      <c r="A9" s="5">
        <v>5</v>
      </c>
      <c r="B9" s="9" t="s">
        <v>10</v>
      </c>
      <c r="C9" s="10">
        <v>11000</v>
      </c>
      <c r="D9" s="5"/>
      <c r="E9" s="5"/>
      <c r="G9" s="19"/>
      <c r="H9" s="19"/>
    </row>
    <row r="10" spans="1:8" x14ac:dyDescent="0.25">
      <c r="A10" s="5">
        <v>6</v>
      </c>
      <c r="B10" s="9" t="s">
        <v>25</v>
      </c>
      <c r="C10" s="10">
        <v>10000</v>
      </c>
      <c r="D10" s="5"/>
      <c r="E10" s="5"/>
      <c r="G10" s="19"/>
      <c r="H10" s="19"/>
    </row>
    <row r="11" spans="1:8" x14ac:dyDescent="0.25">
      <c r="A11" s="5">
        <v>7</v>
      </c>
      <c r="B11" s="9" t="s">
        <v>16</v>
      </c>
      <c r="C11" s="10">
        <v>3000</v>
      </c>
      <c r="D11" s="5"/>
      <c r="E11" s="5"/>
      <c r="G11" s="19"/>
      <c r="H11" s="19"/>
    </row>
    <row r="12" spans="1:8" x14ac:dyDescent="0.25">
      <c r="A12" s="5">
        <v>8</v>
      </c>
      <c r="B12" s="9" t="s">
        <v>22</v>
      </c>
      <c r="C12" s="10">
        <v>5000</v>
      </c>
      <c r="D12" s="5"/>
      <c r="E12" s="5"/>
      <c r="G12" s="19"/>
      <c r="H12" s="19"/>
    </row>
    <row r="13" spans="1:8" x14ac:dyDescent="0.25">
      <c r="A13" s="5">
        <v>9</v>
      </c>
      <c r="B13" s="9" t="s">
        <v>1</v>
      </c>
      <c r="C13" s="10">
        <v>45000</v>
      </c>
      <c r="D13" s="5"/>
      <c r="E13" s="5"/>
      <c r="G13" s="19"/>
      <c r="H13" s="19"/>
    </row>
    <row r="14" spans="1:8" x14ac:dyDescent="0.25">
      <c r="A14" s="5">
        <v>10</v>
      </c>
      <c r="B14" s="9" t="s">
        <v>2</v>
      </c>
      <c r="C14" s="10">
        <v>66000</v>
      </c>
      <c r="D14" s="5"/>
      <c r="E14" s="5"/>
      <c r="G14" s="19"/>
      <c r="H14" s="19"/>
    </row>
    <row r="15" spans="1:8" x14ac:dyDescent="0.25">
      <c r="A15" s="5">
        <v>11</v>
      </c>
      <c r="B15" s="9" t="s">
        <v>15</v>
      </c>
      <c r="C15" s="10">
        <v>15000</v>
      </c>
      <c r="D15" s="5"/>
      <c r="E15" s="5"/>
      <c r="G15" s="19"/>
      <c r="H15" s="19"/>
    </row>
    <row r="16" spans="1:8" x14ac:dyDescent="0.25">
      <c r="A16" s="5">
        <v>12</v>
      </c>
      <c r="B16" s="9" t="s">
        <v>0</v>
      </c>
      <c r="C16" s="10">
        <v>28500</v>
      </c>
      <c r="D16" s="5"/>
      <c r="E16" s="5"/>
      <c r="G16" s="19"/>
      <c r="H16" s="19"/>
    </row>
    <row r="17" spans="1:8" x14ac:dyDescent="0.25">
      <c r="A17" s="5">
        <v>13</v>
      </c>
      <c r="B17" s="9" t="s">
        <v>24</v>
      </c>
      <c r="C17" s="10">
        <v>3500</v>
      </c>
      <c r="D17" s="5"/>
      <c r="E17" s="5"/>
      <c r="G17" s="19"/>
      <c r="H17" s="19"/>
    </row>
    <row r="18" spans="1:8" x14ac:dyDescent="0.25">
      <c r="A18" s="5">
        <v>14</v>
      </c>
      <c r="B18" s="9" t="s">
        <v>23</v>
      </c>
      <c r="C18" s="10">
        <v>12000</v>
      </c>
      <c r="D18" s="5"/>
      <c r="E18" s="5"/>
      <c r="G18" s="19"/>
      <c r="H18" s="19"/>
    </row>
    <row r="19" spans="1:8" x14ac:dyDescent="0.25">
      <c r="A19" s="5">
        <v>15</v>
      </c>
      <c r="B19" s="11" t="s">
        <v>3</v>
      </c>
      <c r="C19" s="12">
        <v>15000</v>
      </c>
      <c r="D19" s="5"/>
      <c r="E19" s="5"/>
      <c r="G19" s="19"/>
      <c r="H19" s="19"/>
    </row>
    <row r="20" spans="1:8" x14ac:dyDescent="0.25">
      <c r="A20" s="5">
        <v>16</v>
      </c>
      <c r="B20" s="9" t="s">
        <v>17</v>
      </c>
      <c r="C20" s="10">
        <v>3500</v>
      </c>
      <c r="D20" s="5"/>
      <c r="E20" s="5"/>
      <c r="G20" s="19"/>
      <c r="H20" s="19"/>
    </row>
    <row r="21" spans="1:8" ht="15.75" thickBot="1" x14ac:dyDescent="0.3">
      <c r="A21" s="28" t="s">
        <v>8</v>
      </c>
      <c r="B21" s="28"/>
      <c r="C21" s="28"/>
      <c r="D21" s="4"/>
      <c r="E21" s="22"/>
      <c r="G21" s="21"/>
      <c r="H21" s="19"/>
    </row>
    <row r="22" spans="1:8" ht="16.5" thickTop="1" thickBot="1" x14ac:dyDescent="0.3">
      <c r="A22" s="25" t="s">
        <v>28</v>
      </c>
      <c r="B22" s="26"/>
      <c r="C22" s="26"/>
      <c r="D22" s="26"/>
      <c r="E22" s="27"/>
      <c r="G22" s="29"/>
      <c r="H22" s="30"/>
    </row>
    <row r="23" spans="1:8" ht="15.75" thickTop="1" x14ac:dyDescent="0.25"/>
    <row r="24" spans="1:8" x14ac:dyDescent="0.25">
      <c r="B24" s="17" t="s">
        <v>29</v>
      </c>
    </row>
    <row r="25" spans="1:8" x14ac:dyDescent="0.25">
      <c r="B25" s="17"/>
    </row>
    <row r="29" spans="1:8" x14ac:dyDescent="0.25">
      <c r="B29" s="14" t="s">
        <v>19</v>
      </c>
      <c r="D29" s="13" t="s">
        <v>20</v>
      </c>
      <c r="E29" s="15"/>
    </row>
    <row r="30" spans="1:8" x14ac:dyDescent="0.25">
      <c r="A30" s="1"/>
      <c r="C30" s="2"/>
      <c r="D30" s="13" t="s">
        <v>21</v>
      </c>
      <c r="E30" s="16"/>
    </row>
    <row r="31" spans="1:8" x14ac:dyDescent="0.25">
      <c r="A31" s="1"/>
      <c r="B31" s="1"/>
      <c r="C31" s="2"/>
      <c r="D31" s="1"/>
      <c r="E31" s="1"/>
    </row>
    <row r="32" spans="1:8" x14ac:dyDescent="0.25">
      <c r="A32" s="7" t="s">
        <v>9</v>
      </c>
      <c r="B32" s="7" t="s">
        <v>4</v>
      </c>
      <c r="C32" s="8" t="s">
        <v>7</v>
      </c>
      <c r="D32" s="7" t="s">
        <v>5</v>
      </c>
      <c r="E32" s="6" t="s">
        <v>6</v>
      </c>
      <c r="G32" s="18" t="s">
        <v>26</v>
      </c>
      <c r="H32" s="18" t="s">
        <v>27</v>
      </c>
    </row>
    <row r="33" spans="1:8" x14ac:dyDescent="0.25">
      <c r="A33" s="5">
        <v>1</v>
      </c>
      <c r="B33" s="9" t="s">
        <v>11</v>
      </c>
      <c r="C33" s="10">
        <f>C5</f>
        <v>3000</v>
      </c>
      <c r="D33" s="5"/>
      <c r="E33" s="5"/>
      <c r="G33" s="19"/>
      <c r="H33" s="19"/>
    </row>
    <row r="34" spans="1:8" x14ac:dyDescent="0.25">
      <c r="A34" s="5">
        <v>2</v>
      </c>
      <c r="B34" s="9" t="s">
        <v>13</v>
      </c>
      <c r="C34" s="10">
        <f t="shared" ref="C34:C48" si="0">C6</f>
        <v>5000</v>
      </c>
      <c r="D34" s="5"/>
      <c r="E34" s="5"/>
      <c r="G34" s="19"/>
      <c r="H34" s="19"/>
    </row>
    <row r="35" spans="1:8" x14ac:dyDescent="0.25">
      <c r="A35" s="5">
        <v>3</v>
      </c>
      <c r="B35" s="9" t="s">
        <v>14</v>
      </c>
      <c r="C35" s="10">
        <f t="shared" si="0"/>
        <v>15000</v>
      </c>
      <c r="D35" s="5"/>
      <c r="E35" s="5"/>
      <c r="G35" s="19"/>
      <c r="H35" s="19"/>
    </row>
    <row r="36" spans="1:8" x14ac:dyDescent="0.25">
      <c r="A36" s="5">
        <v>4</v>
      </c>
      <c r="B36" s="9" t="s">
        <v>12</v>
      </c>
      <c r="C36" s="10">
        <f t="shared" si="0"/>
        <v>15000</v>
      </c>
      <c r="D36" s="5"/>
      <c r="E36" s="5"/>
      <c r="G36" s="19"/>
      <c r="H36" s="19"/>
    </row>
    <row r="37" spans="1:8" x14ac:dyDescent="0.25">
      <c r="A37" s="5">
        <v>5</v>
      </c>
      <c r="B37" s="9" t="s">
        <v>10</v>
      </c>
      <c r="C37" s="10">
        <f t="shared" si="0"/>
        <v>11000</v>
      </c>
      <c r="D37" s="5"/>
      <c r="E37" s="5"/>
      <c r="G37" s="19"/>
      <c r="H37" s="19"/>
    </row>
    <row r="38" spans="1:8" x14ac:dyDescent="0.25">
      <c r="A38" s="5">
        <v>6</v>
      </c>
      <c r="B38" s="9" t="s">
        <v>25</v>
      </c>
      <c r="C38" s="10">
        <f t="shared" si="0"/>
        <v>10000</v>
      </c>
      <c r="D38" s="5"/>
      <c r="E38" s="5"/>
      <c r="G38" s="19"/>
      <c r="H38" s="19"/>
    </row>
    <row r="39" spans="1:8" x14ac:dyDescent="0.25">
      <c r="A39" s="5">
        <v>7</v>
      </c>
      <c r="B39" s="9" t="s">
        <v>16</v>
      </c>
      <c r="C39" s="10">
        <f t="shared" si="0"/>
        <v>3000</v>
      </c>
      <c r="D39" s="5"/>
      <c r="E39" s="5"/>
      <c r="G39" s="19"/>
      <c r="H39" s="19"/>
    </row>
    <row r="40" spans="1:8" x14ac:dyDescent="0.25">
      <c r="A40" s="5">
        <v>8</v>
      </c>
      <c r="B40" s="9" t="s">
        <v>22</v>
      </c>
      <c r="C40" s="10">
        <f t="shared" si="0"/>
        <v>5000</v>
      </c>
      <c r="D40" s="5"/>
      <c r="E40" s="5"/>
      <c r="G40" s="19"/>
      <c r="H40" s="19"/>
    </row>
    <row r="41" spans="1:8" x14ac:dyDescent="0.25">
      <c r="A41" s="5">
        <v>9</v>
      </c>
      <c r="B41" s="9" t="s">
        <v>1</v>
      </c>
      <c r="C41" s="10">
        <f t="shared" si="0"/>
        <v>45000</v>
      </c>
      <c r="D41" s="5"/>
      <c r="E41" s="5"/>
      <c r="G41" s="19"/>
      <c r="H41" s="19"/>
    </row>
    <row r="42" spans="1:8" x14ac:dyDescent="0.25">
      <c r="A42" s="5">
        <v>10</v>
      </c>
      <c r="B42" s="9" t="s">
        <v>2</v>
      </c>
      <c r="C42" s="10">
        <f t="shared" si="0"/>
        <v>66000</v>
      </c>
      <c r="D42" s="5"/>
      <c r="E42" s="5"/>
      <c r="G42" s="19"/>
      <c r="H42" s="19"/>
    </row>
    <row r="43" spans="1:8" x14ac:dyDescent="0.25">
      <c r="A43" s="5">
        <v>11</v>
      </c>
      <c r="B43" s="9" t="s">
        <v>15</v>
      </c>
      <c r="C43" s="10">
        <f t="shared" si="0"/>
        <v>15000</v>
      </c>
      <c r="D43" s="5"/>
      <c r="E43" s="5"/>
      <c r="G43" s="19"/>
      <c r="H43" s="19"/>
    </row>
    <row r="44" spans="1:8" x14ac:dyDescent="0.25">
      <c r="A44" s="5">
        <v>12</v>
      </c>
      <c r="B44" s="9" t="s">
        <v>0</v>
      </c>
      <c r="C44" s="10">
        <f t="shared" si="0"/>
        <v>28500</v>
      </c>
      <c r="D44" s="5"/>
      <c r="E44" s="5"/>
      <c r="G44" s="19"/>
      <c r="H44" s="19"/>
    </row>
    <row r="45" spans="1:8" x14ac:dyDescent="0.25">
      <c r="A45" s="5">
        <v>13</v>
      </c>
      <c r="B45" s="9" t="s">
        <v>24</v>
      </c>
      <c r="C45" s="10">
        <f t="shared" si="0"/>
        <v>3500</v>
      </c>
      <c r="D45" s="5"/>
      <c r="E45" s="5"/>
      <c r="G45" s="19"/>
      <c r="H45" s="19"/>
    </row>
    <row r="46" spans="1:8" x14ac:dyDescent="0.25">
      <c r="A46" s="5">
        <v>14</v>
      </c>
      <c r="B46" s="9" t="s">
        <v>23</v>
      </c>
      <c r="C46" s="10">
        <f t="shared" si="0"/>
        <v>12000</v>
      </c>
      <c r="D46" s="5"/>
      <c r="E46" s="5"/>
      <c r="G46" s="19"/>
      <c r="H46" s="19"/>
    </row>
    <row r="47" spans="1:8" x14ac:dyDescent="0.25">
      <c r="A47" s="5">
        <v>15</v>
      </c>
      <c r="B47" s="11" t="s">
        <v>3</v>
      </c>
      <c r="C47" s="10">
        <f t="shared" si="0"/>
        <v>15000</v>
      </c>
      <c r="D47" s="5"/>
      <c r="E47" s="5"/>
      <c r="G47" s="19"/>
      <c r="H47" s="19"/>
    </row>
    <row r="48" spans="1:8" x14ac:dyDescent="0.25">
      <c r="A48" s="5">
        <v>16</v>
      </c>
      <c r="B48" s="9" t="s">
        <v>17</v>
      </c>
      <c r="C48" s="10">
        <f t="shared" si="0"/>
        <v>3500</v>
      </c>
      <c r="D48" s="5"/>
      <c r="E48" s="5"/>
      <c r="G48" s="19"/>
      <c r="H48" s="19"/>
    </row>
    <row r="49" spans="1:8" ht="15.75" thickBot="1" x14ac:dyDescent="0.3">
      <c r="A49" s="28" t="s">
        <v>8</v>
      </c>
      <c r="B49" s="28"/>
      <c r="C49" s="28"/>
      <c r="D49" s="4"/>
      <c r="E49" s="22"/>
      <c r="G49" s="21"/>
      <c r="H49" s="19"/>
    </row>
    <row r="50" spans="1:8" ht="16.5" thickTop="1" thickBot="1" x14ac:dyDescent="0.3">
      <c r="A50" s="25" t="s">
        <v>28</v>
      </c>
      <c r="B50" s="26"/>
      <c r="C50" s="26"/>
      <c r="D50" s="26"/>
      <c r="E50" s="27"/>
      <c r="G50" s="23"/>
      <c r="H50" s="24"/>
    </row>
    <row r="51" spans="1:8" ht="15.75" thickTop="1" x14ac:dyDescent="0.25"/>
    <row r="52" spans="1:8" x14ac:dyDescent="0.25">
      <c r="B52" s="17" t="s">
        <v>29</v>
      </c>
    </row>
    <row r="55" spans="1:8" x14ac:dyDescent="0.25">
      <c r="B55" s="20"/>
    </row>
  </sheetData>
  <mergeCells count="6">
    <mergeCell ref="G50:H50"/>
    <mergeCell ref="A22:E22"/>
    <mergeCell ref="A50:E50"/>
    <mergeCell ref="A49:C49"/>
    <mergeCell ref="A21:C21"/>
    <mergeCell ref="G22:H22"/>
  </mergeCells>
  <pageMargins left="0.45" right="0.25" top="0.2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>
      <selection activeCell="H16" sqref="H16"/>
    </sheetView>
  </sheetViews>
  <sheetFormatPr defaultRowHeight="15" x14ac:dyDescent="0.25"/>
  <cols>
    <col min="1" max="1" width="4.42578125" customWidth="1"/>
    <col min="2" max="2" width="28.42578125" customWidth="1"/>
    <col min="3" max="3" width="14.140625" customWidth="1"/>
    <col min="4" max="4" width="14.28515625" customWidth="1"/>
    <col min="5" max="5" width="15.140625" customWidth="1"/>
  </cols>
  <sheetData>
    <row r="1" spans="1:5" x14ac:dyDescent="0.25">
      <c r="B1" s="13" t="s">
        <v>32</v>
      </c>
    </row>
    <row r="2" spans="1:5" x14ac:dyDescent="0.25">
      <c r="A2" s="7" t="s">
        <v>9</v>
      </c>
      <c r="B2" s="7" t="s">
        <v>4</v>
      </c>
      <c r="C2" s="8" t="s">
        <v>31</v>
      </c>
      <c r="D2" s="7" t="s">
        <v>30</v>
      </c>
      <c r="E2" s="6" t="s">
        <v>6</v>
      </c>
    </row>
    <row r="3" spans="1:5" x14ac:dyDescent="0.25">
      <c r="A3" s="5">
        <v>1</v>
      </c>
      <c r="B3" s="9" t="s">
        <v>11</v>
      </c>
      <c r="C3" s="10">
        <v>2000</v>
      </c>
      <c r="D3" s="5">
        <v>144</v>
      </c>
      <c r="E3" s="5">
        <f>Table18[[#This Row],[ISI / KARTON]]*Table18[[#This Row],[@]]</f>
        <v>288000</v>
      </c>
    </row>
    <row r="4" spans="1:5" x14ac:dyDescent="0.25">
      <c r="A4" s="5">
        <v>2</v>
      </c>
      <c r="B4" s="9" t="s">
        <v>13</v>
      </c>
      <c r="C4" s="10">
        <v>4000</v>
      </c>
      <c r="D4" s="5">
        <v>72</v>
      </c>
      <c r="E4" s="5">
        <f>Table18[[#This Row],[ISI / KARTON]]*Table18[[#This Row],[@]]</f>
        <v>288000</v>
      </c>
    </row>
    <row r="5" spans="1:5" x14ac:dyDescent="0.25">
      <c r="A5" s="5">
        <v>3</v>
      </c>
      <c r="B5" s="9" t="s">
        <v>14</v>
      </c>
      <c r="C5" s="10">
        <v>13000</v>
      </c>
      <c r="D5" s="5">
        <v>18</v>
      </c>
      <c r="E5" s="5">
        <f>Table18[[#This Row],[ISI / KARTON]]*Table18[[#This Row],[@]]</f>
        <v>234000</v>
      </c>
    </row>
    <row r="6" spans="1:5" x14ac:dyDescent="0.25">
      <c r="A6" s="5">
        <v>4</v>
      </c>
      <c r="B6" s="9" t="s">
        <v>12</v>
      </c>
      <c r="C6" s="10">
        <v>14000</v>
      </c>
      <c r="D6" s="5">
        <v>40</v>
      </c>
      <c r="E6" s="5">
        <f>Table18[[#This Row],[ISI / KARTON]]*Table18[[#This Row],[@]]</f>
        <v>560000</v>
      </c>
    </row>
    <row r="7" spans="1:5" x14ac:dyDescent="0.25">
      <c r="A7" s="5">
        <v>5</v>
      </c>
      <c r="B7" s="9" t="s">
        <v>10</v>
      </c>
      <c r="C7" s="10">
        <v>9000</v>
      </c>
      <c r="D7" s="5">
        <v>40</v>
      </c>
      <c r="E7" s="5">
        <f>Table18[[#This Row],[ISI / KARTON]]*Table18[[#This Row],[@]]</f>
        <v>360000</v>
      </c>
    </row>
    <row r="8" spans="1:5" x14ac:dyDescent="0.25">
      <c r="A8" s="5">
        <v>6</v>
      </c>
      <c r="B8" s="9" t="s">
        <v>25</v>
      </c>
      <c r="C8" s="10">
        <v>7500</v>
      </c>
      <c r="D8" s="5">
        <v>40</v>
      </c>
      <c r="E8" s="5">
        <f>Table18[[#This Row],[ISI / KARTON]]*Table18[[#This Row],[@]]</f>
        <v>300000</v>
      </c>
    </row>
    <row r="9" spans="1:5" x14ac:dyDescent="0.25">
      <c r="A9" s="5">
        <v>7</v>
      </c>
      <c r="B9" s="9" t="s">
        <v>16</v>
      </c>
      <c r="C9" s="10">
        <v>2500</v>
      </c>
      <c r="D9" s="5">
        <v>80</v>
      </c>
      <c r="E9" s="5">
        <f>Table18[[#This Row],[ISI / KARTON]]*Table18[[#This Row],[@]]</f>
        <v>200000</v>
      </c>
    </row>
    <row r="10" spans="1:5" x14ac:dyDescent="0.25">
      <c r="A10" s="5">
        <v>8</v>
      </c>
      <c r="B10" s="9" t="s">
        <v>22</v>
      </c>
      <c r="C10" s="10">
        <v>4000</v>
      </c>
      <c r="D10" s="5">
        <v>40</v>
      </c>
      <c r="E10" s="5">
        <f>Table18[[#This Row],[ISI / KARTON]]*Table18[[#This Row],[@]]</f>
        <v>160000</v>
      </c>
    </row>
    <row r="11" spans="1:5" x14ac:dyDescent="0.25">
      <c r="A11" s="5">
        <v>9</v>
      </c>
      <c r="B11" s="9" t="s">
        <v>1</v>
      </c>
      <c r="C11" s="10">
        <v>41000</v>
      </c>
      <c r="D11" s="5">
        <v>6</v>
      </c>
      <c r="E11" s="5">
        <f>Table18[[#This Row],[ISI / KARTON]]*Table18[[#This Row],[@]]</f>
        <v>246000</v>
      </c>
    </row>
    <row r="12" spans="1:5" x14ac:dyDescent="0.25">
      <c r="A12" s="5">
        <v>10</v>
      </c>
      <c r="B12" s="9" t="s">
        <v>2</v>
      </c>
      <c r="C12" s="10">
        <v>60000</v>
      </c>
      <c r="D12" s="5">
        <v>4</v>
      </c>
      <c r="E12" s="5">
        <f>Table18[[#This Row],[ISI / KARTON]]*Table18[[#This Row],[@]]</f>
        <v>240000</v>
      </c>
    </row>
    <row r="13" spans="1:5" x14ac:dyDescent="0.25">
      <c r="A13" s="5">
        <v>11</v>
      </c>
      <c r="B13" s="9" t="s">
        <v>15</v>
      </c>
      <c r="C13" s="10">
        <v>14000</v>
      </c>
      <c r="D13" s="5">
        <v>40</v>
      </c>
      <c r="E13" s="5">
        <f>Table18[[#This Row],[ISI / KARTON]]*Table18[[#This Row],[@]]</f>
        <v>560000</v>
      </c>
    </row>
    <row r="14" spans="1:5" x14ac:dyDescent="0.25">
      <c r="A14" s="5">
        <v>12</v>
      </c>
      <c r="B14" s="9" t="s">
        <v>0</v>
      </c>
      <c r="C14" s="10">
        <v>26500</v>
      </c>
      <c r="D14" s="5">
        <v>6</v>
      </c>
      <c r="E14" s="5">
        <f>Table18[[#This Row],[ISI / KARTON]]*Table18[[#This Row],[@]]</f>
        <v>159000</v>
      </c>
    </row>
    <row r="15" spans="1:5" x14ac:dyDescent="0.25">
      <c r="A15" s="5">
        <v>13</v>
      </c>
      <c r="B15" s="9" t="s">
        <v>24</v>
      </c>
      <c r="C15" s="10">
        <v>3000</v>
      </c>
      <c r="D15" s="5"/>
      <c r="E15" s="5">
        <f>Table18[[#This Row],[ISI / KARTON]]*Table18[[#This Row],[@]]</f>
        <v>0</v>
      </c>
    </row>
    <row r="16" spans="1:5" x14ac:dyDescent="0.25">
      <c r="A16" s="5">
        <v>14</v>
      </c>
      <c r="B16" s="9" t="s">
        <v>23</v>
      </c>
      <c r="C16" s="10">
        <v>11000</v>
      </c>
      <c r="D16" s="5">
        <v>24</v>
      </c>
      <c r="E16" s="5">
        <f>Table18[[#This Row],[ISI / KARTON]]*Table18[[#This Row],[@]]</f>
        <v>264000</v>
      </c>
    </row>
    <row r="17" spans="1:5" x14ac:dyDescent="0.25">
      <c r="A17" s="5">
        <v>15</v>
      </c>
      <c r="B17" s="11" t="s">
        <v>3</v>
      </c>
      <c r="C17" s="12">
        <v>14500</v>
      </c>
      <c r="D17" s="5"/>
      <c r="E17" s="5">
        <f>Table18[[#This Row],[ISI / KARTON]]*Table18[[#This Row],[@]]</f>
        <v>0</v>
      </c>
    </row>
    <row r="18" spans="1:5" x14ac:dyDescent="0.25">
      <c r="A18" s="5">
        <v>16</v>
      </c>
      <c r="B18" s="9" t="s">
        <v>17</v>
      </c>
      <c r="C18" s="10">
        <v>3000</v>
      </c>
      <c r="D18" s="5">
        <v>60</v>
      </c>
      <c r="E18" s="5">
        <f>Table18[[#This Row],[ISI / KARTON]]*Table18[[#This Row],[@]]</f>
        <v>180000</v>
      </c>
    </row>
    <row r="19" spans="1:5" ht="15.75" thickBot="1" x14ac:dyDescent="0.3">
      <c r="A19" s="28"/>
      <c r="B19" s="28"/>
      <c r="C19" s="28"/>
      <c r="D19" s="4"/>
      <c r="E19" s="22"/>
    </row>
    <row r="20" spans="1:5" ht="15.75" thickTop="1" x14ac:dyDescent="0.25"/>
  </sheetData>
  <mergeCells count="1">
    <mergeCell ref="A19:C19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2019-04-09T06:25:03Z</cp:lastPrinted>
  <dcterms:created xsi:type="dcterms:W3CDTF">2019-03-29T17:58:10Z</dcterms:created>
  <dcterms:modified xsi:type="dcterms:W3CDTF">2019-05-02T07:26:27Z</dcterms:modified>
</cp:coreProperties>
</file>